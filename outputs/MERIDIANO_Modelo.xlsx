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·Centro de Mando" sheetId="1" state="visible" r:id="rId3"/>
    <sheet name="02·Metodología" sheetId="2" state="visible" r:id="rId4"/>
    <sheet name="03·Hubs Regionales" sheetId="3" state="visible" r:id="rId5"/>
    <sheet name="04·Clasif. Agencias" sheetId="4" state="visible" r:id="rId6"/>
    <sheet name="05·Matriz Asignación" sheetId="5" state="visible" r:id="rId7"/>
    <sheet name="06·Cronograma" sheetId="6" state="visible" r:id="rId8"/>
    <sheet name="07·Advertenci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<sst xmlns="http://schemas.openxmlformats.org/spreadsheetml/2006/main" count="1519" uniqueCount="421">
  <si>
    <t xml:space="preserve">OPERACIÓN MERIDIANO</t>
  </si>
  <si>
    <t xml:space="preserve">Centro de Mando</t>
  </si>
  <si>
    <t xml:space="preserve">Estado general — Operación Meridiano · 2.000 POS · 30-60 días</t>
  </si>
  <si>
    <t xml:space="preserve">INDICADOR</t>
  </si>
  <si>
    <t xml:space="preserve">VALOR</t>
  </si>
  <si>
    <t xml:space="preserve">DETALLE</t>
  </si>
  <si>
    <t xml:space="preserve">Objetivo de despliegue</t>
  </si>
  <si>
    <t xml:space="preserve">2.000</t>
  </si>
  <si>
    <t xml:space="preserve">terminales POS</t>
  </si>
  <si>
    <t xml:space="preserve">Agencias activadas</t>
  </si>
  <si>
    <t xml:space="preserve">203</t>
  </si>
  <si>
    <t xml:space="preserve">de 278 del universo BDT</t>
  </si>
  <si>
    <t xml:space="preserve">Velocidad requerida</t>
  </si>
  <si>
    <t xml:space="preserve">67</t>
  </si>
  <si>
    <t xml:space="preserve">POS/día (modo 30 días)</t>
  </si>
  <si>
    <t xml:space="preserve">Hubs regionales</t>
  </si>
  <si>
    <t xml:space="preserve">4</t>
  </si>
  <si>
    <t xml:space="preserve">CENTINELA·FRONTERA·LLANO·AURORA</t>
  </si>
  <si>
    <t xml:space="preserve">DISTRIBUCIÓN POR HUB</t>
  </si>
  <si>
    <t xml:space="preserve">Hub</t>
  </si>
  <si>
    <t xml:space="preserve">POS</t>
  </si>
  <si>
    <t xml:space="preserve">% Total</t>
  </si>
  <si>
    <t xml:space="preserve">Agencias</t>
  </si>
  <si>
    <t xml:space="preserve">Cumpl. BDT</t>
  </si>
  <si>
    <t xml:space="preserve">Estatus</t>
  </si>
  <si>
    <t xml:space="preserve">H1 · CENTINELA · Capital Centro</t>
  </si>
  <si>
    <t xml:space="preserve">CRÍTICO</t>
  </si>
  <si>
    <t xml:space="preserve">H3 · LLANO · Centro Occidente</t>
  </si>
  <si>
    <t xml:space="preserve">URGENTE</t>
  </si>
  <si>
    <t xml:space="preserve">H2 · FRONTERA · Occidente</t>
  </si>
  <si>
    <t xml:space="preserve">H4 · AURORA · Oriente</t>
  </si>
  <si>
    <t xml:space="preserve">TOTAL</t>
  </si>
  <si>
    <t xml:space="preserve">Metodología de Distribución</t>
  </si>
  <si>
    <t xml:space="preserve">Modelo de Potencial Acotado (MPA) — criterios cuantitativos auditables</t>
  </si>
  <si>
    <t xml:space="preserve">CAPA 1 · CUOTA POR HUB/ESTADO</t>
  </si>
  <si>
    <t xml:space="preserve">•  Cuota = Meta_BDT × (1 − %Cumplimiento) × Factor_urgencia</t>
  </si>
  <si>
    <t xml:space="preserve">•  Factor urgencia: &lt;20% → 1.5 | &lt;40% → 1.2 | ≥40% → 1.0</t>
  </si>
  <si>
    <t xml:space="preserve">•  Normalización: Cuota_final = score / Σscores × 2.000</t>
  </si>
  <si>
    <t xml:space="preserve">CAPA 2 · ALÍCUOTA POR AGENCIA</t>
  </si>
  <si>
    <t xml:space="preserve">•  peso = √(Rentabilidad)   [rendimientos decrecientes]</t>
  </si>
  <si>
    <t xml:space="preserve">•  POS = peso / Σpesos × Cuota_estado</t>
  </si>
  <si>
    <t xml:space="preserve">•  Techo = 15% cuota estado | Piso = 2 POS | Excluir rent ≤ 0</t>
  </si>
  <si>
    <t xml:space="preserve">•  Excedente topado → redistribución proporcional</t>
  </si>
  <si>
    <t xml:space="preserve">JUSTIFICACIÓN DE LA RAÍZ CUADRADA</t>
  </si>
  <si>
    <t xml:space="preserve">•  Rentabilidad pura concentraba 650/734 POS en una agencia (88%)</t>
  </si>
  <si>
    <t xml:space="preserve">•  √rentabilidad reconoce techo físico: 4× rentabilidad ≠ 4× capacidad</t>
  </si>
  <si>
    <t xml:space="preserve">•  Resultado: La Principal 650 → 110 POS | concentración 88% → 15%</t>
  </si>
  <si>
    <t xml:space="preserve">DECISIONES DE DISEÑO</t>
  </si>
  <si>
    <t xml:space="preserve">•  Variable única: rentabilidad (transaccionalidad/accesibilidad no disponibles)</t>
  </si>
  <si>
    <t xml:space="preserve">•  Exclusión: 17 agencias negativas fuera | 37 bajo P15 en lista de espera</t>
  </si>
  <si>
    <t xml:space="preserve">•  Clasificación: Tiers ALFA-DELTA por percentil de rentabilidad nacional</t>
  </si>
  <si>
    <t xml:space="preserve">Hubs Regionales de Despliegue</t>
  </si>
  <si>
    <t xml:space="preserve">Capa geográfica — 4 hubs logísticos preposicionados</t>
  </si>
  <si>
    <t xml:space="preserve">Hub / Región</t>
  </si>
  <si>
    <t xml:space="preserve">Cumpl.BDT</t>
  </si>
  <si>
    <t xml:space="preserve">ALFA</t>
  </si>
  <si>
    <t xml:space="preserve">BRAVO</t>
  </si>
  <si>
    <t xml:space="preserve">CHARLIE</t>
  </si>
  <si>
    <t xml:space="preserve">DELTA</t>
  </si>
  <si>
    <t xml:space="preserve">ESTADOS POR HUB</t>
  </si>
  <si>
    <t xml:space="preserve">Estado</t>
  </si>
  <si>
    <t xml:space="preserve">%2000</t>
  </si>
  <si>
    <t xml:space="preserve">Meta BDT</t>
  </si>
  <si>
    <t xml:space="preserve">Inst.BDT</t>
  </si>
  <si>
    <t xml:space="preserve">%Cumpl</t>
  </si>
  <si>
    <t xml:space="preserve">Brecha</t>
  </si>
  <si>
    <t xml:space="preserve">Top1%</t>
  </si>
  <si>
    <t xml:space="preserve">Gran Caracas</t>
  </si>
  <si>
    <t xml:space="preserve">Capital Centro</t>
  </si>
  <si>
    <t xml:space="preserve">Carabobo</t>
  </si>
  <si>
    <t xml:space="preserve">Aragua</t>
  </si>
  <si>
    <t xml:space="preserve">La Guaira</t>
  </si>
  <si>
    <t xml:space="preserve">Apure-Amazonas</t>
  </si>
  <si>
    <t xml:space="preserve">Miranda</t>
  </si>
  <si>
    <t xml:space="preserve">Guárico</t>
  </si>
  <si>
    <t xml:space="preserve">Portuguesa</t>
  </si>
  <si>
    <t xml:space="preserve">Centro Occidente</t>
  </si>
  <si>
    <t xml:space="preserve">Yaracuy</t>
  </si>
  <si>
    <t xml:space="preserve">Barinas</t>
  </si>
  <si>
    <t xml:space="preserve">Lara</t>
  </si>
  <si>
    <t xml:space="preserve">Zulia</t>
  </si>
  <si>
    <t xml:space="preserve">Occidente</t>
  </si>
  <si>
    <t xml:space="preserve">Táchira</t>
  </si>
  <si>
    <t xml:space="preserve">Trujillo</t>
  </si>
  <si>
    <t xml:space="preserve">Falcón</t>
  </si>
  <si>
    <t xml:space="preserve">Mérida</t>
  </si>
  <si>
    <t xml:space="preserve">Anzoátegui</t>
  </si>
  <si>
    <t xml:space="preserve">Oriente</t>
  </si>
  <si>
    <t xml:space="preserve">Monagas-Delta Amacuro</t>
  </si>
  <si>
    <t xml:space="preserve">Nueva Esparta</t>
  </si>
  <si>
    <t xml:space="preserve">Bolívar</t>
  </si>
  <si>
    <t xml:space="preserve">Sucre</t>
  </si>
  <si>
    <t xml:space="preserve">Clasificación de Agencias — Tiers</t>
  </si>
  <si>
    <t xml:space="preserve">ALFA · BRAVO · CHARLIE · DELTA — capacidad y prioridad de despliegue</t>
  </si>
  <si>
    <t xml:space="preserve">Tier</t>
  </si>
  <si>
    <t xml:space="preserve">Rol operativo</t>
  </si>
  <si>
    <t xml:space="preserve">Ventana</t>
  </si>
  <si>
    <t xml:space="preserve">Vanguardia</t>
  </si>
  <si>
    <t xml:space="preserve">Días 1-10</t>
  </si>
  <si>
    <t xml:space="preserve">Núcleo</t>
  </si>
  <si>
    <t xml:space="preserve">Días 6-20</t>
  </si>
  <si>
    <t xml:space="preserve">Expansión</t>
  </si>
  <si>
    <t xml:space="preserve">Días 16-30</t>
  </si>
  <si>
    <t xml:space="preserve">Reserva</t>
  </si>
  <si>
    <t xml:space="preserve">Días 21-30 / Vigilancia</t>
  </si>
  <si>
    <t xml:space="preserve">REGLA DE GESTIÓN POR TIER</t>
  </si>
  <si>
    <t xml:space="preserve">Despliegue garantizado · soporte premium · NPS prioritario</t>
  </si>
  <si>
    <t xml:space="preserve">Despliegue programado · soporte estándar</t>
  </si>
  <si>
    <t xml:space="preserve">Despliegue por cluster geográfico · soporte compartido</t>
  </si>
  <si>
    <t xml:space="preserve">Bajo vigilancia · reasignar si no transacciona en T+15 días</t>
  </si>
  <si>
    <t xml:space="preserve">Matriz de Asignación — 203 Agencias</t>
  </si>
  <si>
    <t xml:space="preserve">Trazabilidad total · fuente de verdad operativa</t>
  </si>
  <si>
    <t xml:space="preserve">Agencia</t>
  </si>
  <si>
    <t xml:space="preserve">Rentabilidad (Bs)</t>
  </si>
  <si>
    <t xml:space="preserve">Criterio</t>
  </si>
  <si>
    <t xml:space="preserve">San Fernando de Apure (51)</t>
  </si>
  <si>
    <t xml:space="preserve">Alícuota √rentabilidad</t>
  </si>
  <si>
    <t xml:space="preserve">San Fernando de Apure II (275)</t>
  </si>
  <si>
    <t xml:space="preserve">Topada cap 15%</t>
  </si>
  <si>
    <t xml:space="preserve">Mantecal (90)</t>
  </si>
  <si>
    <t xml:space="preserve">Elorza (37)</t>
  </si>
  <si>
    <t xml:space="preserve">Achaguas (217)</t>
  </si>
  <si>
    <t xml:space="preserve">Guasdualito (22)</t>
  </si>
  <si>
    <t xml:space="preserve">C.C Aviadores (576)</t>
  </si>
  <si>
    <t xml:space="preserve">Maracay Av. Miranda (191)</t>
  </si>
  <si>
    <t xml:space="preserve">La Victoria (87)</t>
  </si>
  <si>
    <t xml:space="preserve">San Sebastián de los Reyes (197)</t>
  </si>
  <si>
    <t xml:space="preserve">Tejerías (150)</t>
  </si>
  <si>
    <t xml:space="preserve">Santa Cruz de Aragua (198)</t>
  </si>
  <si>
    <t xml:space="preserve">Cagua (131)</t>
  </si>
  <si>
    <t xml:space="preserve">Camatagua (105)</t>
  </si>
  <si>
    <t xml:space="preserve">San Diego (545)</t>
  </si>
  <si>
    <t xml:space="preserve">Naguanagua (408)</t>
  </si>
  <si>
    <t xml:space="preserve">C.C. Caribbean Plaza (577)</t>
  </si>
  <si>
    <t xml:space="preserve">Mariara (135)</t>
  </si>
  <si>
    <t xml:space="preserve">Cedeño (407)</t>
  </si>
  <si>
    <t xml:space="preserve">Guacara (161)</t>
  </si>
  <si>
    <t xml:space="preserve">Tocuyito (156)</t>
  </si>
  <si>
    <t xml:space="preserve">Puerto Cabello (86)</t>
  </si>
  <si>
    <t xml:space="preserve">La Principal (473)</t>
  </si>
  <si>
    <t xml:space="preserve">Centro Lido (322)</t>
  </si>
  <si>
    <t xml:space="preserve">El Hatillo (160)</t>
  </si>
  <si>
    <t xml:space="preserve">Sabana Grande (656)</t>
  </si>
  <si>
    <t xml:space="preserve">Chacaíto (362)</t>
  </si>
  <si>
    <t xml:space="preserve">Torre Domus (462)</t>
  </si>
  <si>
    <t xml:space="preserve">Caracas (44)</t>
  </si>
  <si>
    <t xml:space="preserve">Chacao (490)</t>
  </si>
  <si>
    <t xml:space="preserve">C.C.C.T. (443)</t>
  </si>
  <si>
    <t xml:space="preserve">Los Palos Grandes (289)</t>
  </si>
  <si>
    <t xml:space="preserve">Los Próceres (484)</t>
  </si>
  <si>
    <t xml:space="preserve">Manzanares (574)</t>
  </si>
  <si>
    <t xml:space="preserve">El Marqués (566)</t>
  </si>
  <si>
    <t xml:space="preserve">Av. Universidad (453)</t>
  </si>
  <si>
    <t xml:space="preserve">Montalbán (120)</t>
  </si>
  <si>
    <t xml:space="preserve">Calabozo (80)</t>
  </si>
  <si>
    <t xml:space="preserve">Valle La Pascua (94)</t>
  </si>
  <si>
    <t xml:space="preserve">Santa María de Ipire (176)</t>
  </si>
  <si>
    <t xml:space="preserve">San Juan de los Morros II (578)</t>
  </si>
  <si>
    <t xml:space="preserve">Zaraza (93)</t>
  </si>
  <si>
    <t xml:space="preserve">Las Mercedes del Llano (184)</t>
  </si>
  <si>
    <t xml:space="preserve">Camaguán (167)</t>
  </si>
  <si>
    <t xml:space="preserve">Altagracia de Orituco II (569)</t>
  </si>
  <si>
    <t xml:space="preserve">Tucupido (146)</t>
  </si>
  <si>
    <t xml:space="preserve">El Sombrero (144)</t>
  </si>
  <si>
    <t xml:space="preserve">Guayabal (231)</t>
  </si>
  <si>
    <t xml:space="preserve">Cabruta (243)</t>
  </si>
  <si>
    <t xml:space="preserve">Ortíz (612)</t>
  </si>
  <si>
    <t xml:space="preserve">Catia la Mar (190)</t>
  </si>
  <si>
    <t xml:space="preserve">Terminal Catia la Mar (621)</t>
  </si>
  <si>
    <t xml:space="preserve">Puerto Litoral (248)</t>
  </si>
  <si>
    <t xml:space="preserve">La Guaira (83)</t>
  </si>
  <si>
    <t xml:space="preserve">Colonia Tovar (100)</t>
  </si>
  <si>
    <t xml:space="preserve">San Antonio de los Altos II (520)</t>
  </si>
  <si>
    <t xml:space="preserve">Guarenas (84)</t>
  </si>
  <si>
    <t xml:space="preserve">Los Teques (102)</t>
  </si>
  <si>
    <t xml:space="preserve">Guatire (115)</t>
  </si>
  <si>
    <t xml:space="preserve">San Antonio de los Altos (121)</t>
  </si>
  <si>
    <t xml:space="preserve">Ocumare del Tuy Av. Miranda (370)</t>
  </si>
  <si>
    <t xml:space="preserve">Higuerote (124)</t>
  </si>
  <si>
    <t xml:space="preserve">Charallave (116)</t>
  </si>
  <si>
    <t xml:space="preserve">San Jose de Barlovento (128)</t>
  </si>
  <si>
    <t xml:space="preserve">Cúa (377)</t>
  </si>
  <si>
    <t xml:space="preserve">Cúpira (239)</t>
  </si>
  <si>
    <t xml:space="preserve">Alto Barinas (185)</t>
  </si>
  <si>
    <t xml:space="preserve">Ciudad Bolivia (29)</t>
  </si>
  <si>
    <t xml:space="preserve">Socopó (41)</t>
  </si>
  <si>
    <t xml:space="preserve">Ciudad de Nutrias (125)</t>
  </si>
  <si>
    <t xml:space="preserve">Barinas Centro (92)</t>
  </si>
  <si>
    <t xml:space="preserve">Barinitas (222)</t>
  </si>
  <si>
    <t xml:space="preserve">Sabaneta (32)</t>
  </si>
  <si>
    <t xml:space="preserve">Arismendi (187)</t>
  </si>
  <si>
    <t xml:space="preserve">El Cantón (203)</t>
  </si>
  <si>
    <t xml:space="preserve">Barrancas (136)</t>
  </si>
  <si>
    <t xml:space="preserve">Santa Inés (91)</t>
  </si>
  <si>
    <t xml:space="preserve">Mercabar (72)</t>
  </si>
  <si>
    <t xml:space="preserve">Cabudare (166)</t>
  </si>
  <si>
    <t xml:space="preserve">Barquisimeto (50)</t>
  </si>
  <si>
    <t xml:space="preserve">Torre Central (397)</t>
  </si>
  <si>
    <t xml:space="preserve">Carora Av. Fco de Miranda (347)</t>
  </si>
  <si>
    <t xml:space="preserve">Tocuyo (179)</t>
  </si>
  <si>
    <t xml:space="preserve">Quíbor (109)</t>
  </si>
  <si>
    <t xml:space="preserve">Duaca (188)</t>
  </si>
  <si>
    <t xml:space="preserve">Sarare (240)</t>
  </si>
  <si>
    <t xml:space="preserve">Sanare (396)</t>
  </si>
  <si>
    <t xml:space="preserve">Siquisique (155)</t>
  </si>
  <si>
    <t xml:space="preserve">Alcaldía de Carora (400)</t>
  </si>
  <si>
    <t xml:space="preserve">Acarigua Av. Libertador (343)</t>
  </si>
  <si>
    <t xml:space="preserve">C.C. Buenaventura (390)</t>
  </si>
  <si>
    <t xml:space="preserve">Ospino (58)</t>
  </si>
  <si>
    <t xml:space="preserve">Guanare II (107)</t>
  </si>
  <si>
    <t xml:space="preserve">San Rafaél de Onoto (395)</t>
  </si>
  <si>
    <t xml:space="preserve">El Playón (165)</t>
  </si>
  <si>
    <t xml:space="preserve">Agua Blanca (399)</t>
  </si>
  <si>
    <t xml:space="preserve">Boconoíto (178)</t>
  </si>
  <si>
    <t xml:space="preserve">Biscucuy (106)</t>
  </si>
  <si>
    <t xml:space="preserve">San Felipe 5ta. Avenida (438)</t>
  </si>
  <si>
    <t xml:space="preserve">Chivacoa (127)</t>
  </si>
  <si>
    <t xml:space="preserve">San Carlos (65)</t>
  </si>
  <si>
    <t xml:space="preserve">Aroa (173)</t>
  </si>
  <si>
    <t xml:space="preserve">Urachiche (189)</t>
  </si>
  <si>
    <t xml:space="preserve">San Felipe (71)</t>
  </si>
  <si>
    <t xml:space="preserve">Tinaco (152)</t>
  </si>
  <si>
    <t xml:space="preserve">El Baúl (221)</t>
  </si>
  <si>
    <t xml:space="preserve">Sabana de Parra (606)</t>
  </si>
  <si>
    <t xml:space="preserve">Las Vegas (246)</t>
  </si>
  <si>
    <t xml:space="preserve">Punto Fijo (113)</t>
  </si>
  <si>
    <t xml:space="preserve">Coro II (496)</t>
  </si>
  <si>
    <t xml:space="preserve">Coro (66)</t>
  </si>
  <si>
    <t xml:space="preserve">Mirimire (177)</t>
  </si>
  <si>
    <t xml:space="preserve">Churuguara (499)</t>
  </si>
  <si>
    <t xml:space="preserve">Chichiriviche (497)</t>
  </si>
  <si>
    <t xml:space="preserve">Tucacas C.C. Morrocoy (353)</t>
  </si>
  <si>
    <t xml:space="preserve">San Juan de los Cayos (513)</t>
  </si>
  <si>
    <t xml:space="preserve">Los Médanos (512)</t>
  </si>
  <si>
    <t xml:space="preserve">Dabajuro (164)</t>
  </si>
  <si>
    <t xml:space="preserve">Guamacho (509)</t>
  </si>
  <si>
    <t xml:space="preserve">Mauroa (510)</t>
  </si>
  <si>
    <t xml:space="preserve">Pueblo Nuevo (609)</t>
  </si>
  <si>
    <t xml:space="preserve">Mérida Centro (40)</t>
  </si>
  <si>
    <t xml:space="preserve">Tovar (21)</t>
  </si>
  <si>
    <t xml:space="preserve">El Vigía (28)</t>
  </si>
  <si>
    <t xml:space="preserve">Glorias Patrias (11)</t>
  </si>
  <si>
    <t xml:space="preserve">Timotes (27)</t>
  </si>
  <si>
    <t xml:space="preserve">Santa Elena de Arenales (54)</t>
  </si>
  <si>
    <t xml:space="preserve">La Azulita (42)</t>
  </si>
  <si>
    <t xml:space="preserve">Santo Domingo (103)</t>
  </si>
  <si>
    <t xml:space="preserve">Valera (12)</t>
  </si>
  <si>
    <t xml:space="preserve">Carvajal (228)</t>
  </si>
  <si>
    <t xml:space="preserve">Campo Elías (237)</t>
  </si>
  <si>
    <t xml:space="preserve">Sabana Mendoza (208)</t>
  </si>
  <si>
    <t xml:space="preserve">Pirineos (39)</t>
  </si>
  <si>
    <t xml:space="preserve">Las Cristinas (126)</t>
  </si>
  <si>
    <t xml:space="preserve">Capacho Independencia (199)</t>
  </si>
  <si>
    <t xml:space="preserve">Táriba (56)</t>
  </si>
  <si>
    <t xml:space="preserve">La Grita (30)</t>
  </si>
  <si>
    <t xml:space="preserve">El Piñal (43)</t>
  </si>
  <si>
    <t xml:space="preserve">San Antonio del Táchira (55)</t>
  </si>
  <si>
    <t xml:space="preserve">La Concordia (24)</t>
  </si>
  <si>
    <t xml:space="preserve">Colón (26)</t>
  </si>
  <si>
    <t xml:space="preserve">Cordero (183)</t>
  </si>
  <si>
    <t xml:space="preserve">La Fría (23)</t>
  </si>
  <si>
    <t xml:space="preserve">Pequeños Comerciantes (46)</t>
  </si>
  <si>
    <t xml:space="preserve">La Pedrera (36)</t>
  </si>
  <si>
    <t xml:space="preserve">Queniquea (49)</t>
  </si>
  <si>
    <t xml:space="preserve">Coloncito (31)</t>
  </si>
  <si>
    <t xml:space="preserve">Rubio (45)</t>
  </si>
  <si>
    <t xml:space="preserve">Pregonero (38)</t>
  </si>
  <si>
    <t xml:space="preserve">Santa Ana (47)</t>
  </si>
  <si>
    <t xml:space="preserve">Maracaibo Av. Bella Vista (320)</t>
  </si>
  <si>
    <t xml:space="preserve">Los Háticos (581)</t>
  </si>
  <si>
    <t xml:space="preserve">Maracaibo Centro (98)</t>
  </si>
  <si>
    <t xml:space="preserve">Maracaibo Av. La Limpia (159)</t>
  </si>
  <si>
    <t xml:space="preserve">Cabimas (170)</t>
  </si>
  <si>
    <t xml:space="preserve">Maracaibo 5 de Julio (561)</t>
  </si>
  <si>
    <t xml:space="preserve">Encontrados (95)</t>
  </si>
  <si>
    <t xml:space="preserve">Machiques (104)</t>
  </si>
  <si>
    <t xml:space="preserve">Santa Bárbara del Zulia (119)</t>
  </si>
  <si>
    <t xml:space="preserve">La Concepción (175)</t>
  </si>
  <si>
    <t xml:space="preserve">Casigua el Cubo (149)</t>
  </si>
  <si>
    <t xml:space="preserve">Mene Grande (118)</t>
  </si>
  <si>
    <t xml:space="preserve">Ciudad Ojeda (97)</t>
  </si>
  <si>
    <t xml:space="preserve">El Chivo (554)</t>
  </si>
  <si>
    <t xml:space="preserve">El Tigre (63)</t>
  </si>
  <si>
    <t xml:space="preserve">Puente Real Barcelona (616)</t>
  </si>
  <si>
    <t xml:space="preserve">Puerto la Cruz (74)</t>
  </si>
  <si>
    <t xml:space="preserve">Lecherías (137)</t>
  </si>
  <si>
    <t xml:space="preserve">Aragua de Barcelona (157)</t>
  </si>
  <si>
    <t xml:space="preserve">Anáco (79)</t>
  </si>
  <si>
    <t xml:space="preserve">San Tomé (529)</t>
  </si>
  <si>
    <t xml:space="preserve">Clarines (186)</t>
  </si>
  <si>
    <t xml:space="preserve">Barcelona (88)</t>
  </si>
  <si>
    <t xml:space="preserve">Pariaguán (180)</t>
  </si>
  <si>
    <t xml:space="preserve">Unare (172)</t>
  </si>
  <si>
    <t xml:space="preserve">Bolívar Edf. Los Chaguaramos (526)</t>
  </si>
  <si>
    <t xml:space="preserve">San Félix (130)</t>
  </si>
  <si>
    <t xml:space="preserve">Torre Bell (620)</t>
  </si>
  <si>
    <t xml:space="preserve">Upata (112)</t>
  </si>
  <si>
    <t xml:space="preserve">Maripa (169)</t>
  </si>
  <si>
    <t xml:space="preserve">Guasipati (625)</t>
  </si>
  <si>
    <t xml:space="preserve">Ciudad Bolívar (67)</t>
  </si>
  <si>
    <t xml:space="preserve">El Callao (114)</t>
  </si>
  <si>
    <t xml:space="preserve">Caicara del Orinoco (129)</t>
  </si>
  <si>
    <t xml:space="preserve">Tumeremo (122)</t>
  </si>
  <si>
    <t xml:space="preserve">Maturin Av. Juncal (560)</t>
  </si>
  <si>
    <t xml:space="preserve">Tucupita (96)</t>
  </si>
  <si>
    <t xml:space="preserve">Caripito (171)</t>
  </si>
  <si>
    <t xml:space="preserve">Maturin (69)</t>
  </si>
  <si>
    <t xml:space="preserve">Maturin Av. Rivas (258)</t>
  </si>
  <si>
    <t xml:space="preserve">Porlamar Av. Bolívar (549)</t>
  </si>
  <si>
    <t xml:space="preserve">4 de Mayo (333)</t>
  </si>
  <si>
    <t xml:space="preserve">Boulevard Gómez (457)</t>
  </si>
  <si>
    <t xml:space="preserve">Punta de Piedras (458)</t>
  </si>
  <si>
    <t xml:space="preserve">Isla de Coche (308)</t>
  </si>
  <si>
    <t xml:space="preserve">Juan Griego (151)</t>
  </si>
  <si>
    <t xml:space="preserve">Virgen del Carmen (433)</t>
  </si>
  <si>
    <t xml:space="preserve">San Juan Bautista (459)</t>
  </si>
  <si>
    <t xml:space="preserve">Boca de Río (242)</t>
  </si>
  <si>
    <t xml:space="preserve">Cumaná (81)</t>
  </si>
  <si>
    <t xml:space="preserve">C.C. Ciudad Cumaná (667)</t>
  </si>
  <si>
    <t xml:space="preserve">Cumaná Plaza (605)</t>
  </si>
  <si>
    <t xml:space="preserve">Cronograma &amp; Protocolos</t>
  </si>
  <si>
    <t xml:space="preserve">6 fases con nombre clave · 2 checkpoints · 3 niveles de protocolo</t>
  </si>
  <si>
    <t xml:space="preserve">FASES DE LA OPERACIÓN</t>
  </si>
  <si>
    <t xml:space="preserve">Fase</t>
  </si>
  <si>
    <t xml:space="preserve">Nombre clave</t>
  </si>
  <si>
    <t xml:space="preserve">Objetivo</t>
  </si>
  <si>
    <t xml:space="preserve">FASE 0</t>
  </si>
  <si>
    <t xml:space="preserve">GÉNESIS</t>
  </si>
  <si>
    <t xml:space="preserve">Días −7 a 0</t>
  </si>
  <si>
    <t xml:space="preserve">Preposicionar POS en 4 hubs · 12 equipos listos · data validada</t>
  </si>
  <si>
    <t xml:space="preserve">FASE 1</t>
  </si>
  <si>
    <t xml:space="preserve">CARTOGRAFÍA</t>
  </si>
  <si>
    <t xml:space="preserve">Días 1-3</t>
  </si>
  <si>
    <t xml:space="preserve">Validar cuotas por hub · aprobación CEO en 24h</t>
  </si>
  <si>
    <t xml:space="preserve">FASE 2</t>
  </si>
  <si>
    <t xml:space="preserve">PRECISIÓN</t>
  </si>
  <si>
    <t xml:space="preserve">Días 3-5</t>
  </si>
  <si>
    <t xml:space="preserve">Alícuota por agencia · matriz final · CSV operativo</t>
  </si>
  <si>
    <t xml:space="preserve">FASE 3</t>
  </si>
  <si>
    <t xml:space="preserve">RUTA</t>
  </si>
  <si>
    <t xml:space="preserve">Días 5-7</t>
  </si>
  <si>
    <t xml:space="preserve">Optimización de rutas (VRPTW) · clustering · Gantt diario</t>
  </si>
  <si>
    <t xml:space="preserve">FASE 4</t>
  </si>
  <si>
    <t xml:space="preserve">DESPLIEGUE</t>
  </si>
  <si>
    <t xml:space="preserve">Días 8-30/60</t>
  </si>
  <si>
    <t xml:space="preserve">Go-live · instalación express · 67 POS/día</t>
  </si>
  <si>
    <t xml:space="preserve">FASE 5</t>
  </si>
  <si>
    <t xml:space="preserve">VIGÍA</t>
  </si>
  <si>
    <t xml:space="preserve">Día 1 →</t>
  </si>
  <si>
    <t xml:space="preserve">Monitoreo · reasignación de DELTA no transaccionales</t>
  </si>
  <si>
    <t xml:space="preserve">PROTOCOLOS DE ESCALACIÓN</t>
  </si>
  <si>
    <t xml:space="preserve">Código</t>
  </si>
  <si>
    <t xml:space="preserve">Protocolo</t>
  </si>
  <si>
    <t xml:space="preserve">Gatillo</t>
  </si>
  <si>
    <t xml:space="preserve">Acciones</t>
  </si>
  <si>
    <t xml:space="preserve">● VERDE</t>
  </si>
  <si>
    <t xml:space="preserve">Operación normal</t>
  </si>
  <si>
    <t xml:space="preserve">Por defecto, días 1-15</t>
  </si>
  <si>
    <t xml:space="preserve">Filtros plenos · P15 activo · techo 15% · mín 2 POS · 33-67/día</t>
  </si>
  <si>
    <t xml:space="preserve">● ÁMBAR</t>
  </si>
  <si>
    <t xml:space="preserve">Crisis</t>
  </si>
  <si>
    <t xml:space="preserve">Día 15 si &lt;1.000 POS</t>
  </si>
  <si>
    <t xml:space="preserve">Relaja P15→P25 · duplica equipos 3→6 · techo 15→20% · activa lista espera</t>
  </si>
  <si>
    <t xml:space="preserve">● ROJO</t>
  </si>
  <si>
    <t xml:space="preserve">Emergencia</t>
  </si>
  <si>
    <t xml:space="preserve">Día 30 si &lt;1.800 POS</t>
  </si>
  <si>
    <t xml:space="preserve">Cero exclusión rentabilidad · redistribución total equipos · outsourcing</t>
  </si>
  <si>
    <t xml:space="preserve">Advertencias, Sesgos y Notas</t>
  </si>
  <si>
    <t xml:space="preserve">Transparencia metodológica · limitaciones conocidas y decisiones de auditoría</t>
  </si>
  <si>
    <t xml:space="preserve">ADVERTENCIAS CLAVE</t>
  </si>
  <si>
    <t xml:space="preserve">SESGO DE URGENCIA</t>
  </si>
  <si>
    <t xml:space="preserve">La fórmula envía más POS donde el BDT instaló menos (1.5× bajo 20%). Intencional: ataca la brecha del plan del banco, no solo nuestra rentabilidad. Rebalanceable en checkpoint semanal.</t>
  </si>
  <si>
    <t xml:space="preserve">16 AGENCIAS SIN DATO</t>
  </si>
  <si>
    <t xml:space="preserve">Universo oficial 278; con rentabilidad 262. Las 16 restantes quedan pendientes de levantamiento — no entran al reparto, no se asume cero.</t>
  </si>
  <si>
    <t xml:space="preserve">UNA SOLA VARIABLE</t>
  </si>
  <si>
    <t xml:space="preserve">Diseño ideal: rentabilidad + transaccionalidad + accesibilidad. Solo existe rentabilidad. Recomendación: levantar transaccionalidad antes de Fase 2.</t>
  </si>
  <si>
    <t xml:space="preserve">CONCENTRACIÓN EN ESTADOS PEQUEÑOS</t>
  </si>
  <si>
    <t xml:space="preserve">Trujillo (4 ag.) y Sucre (3 ag.): líder concentra 40-55%. Estructural, no defecto — con tan pocas agencias el techo 15% no activa.</t>
  </si>
  <si>
    <t xml:space="preserve">VENTANA TEMPORAL</t>
  </si>
  <si>
    <t xml:space="preserve">Modelo opera a 30-60 días. Si el horizonte real es mayor, se recalculan velocidades y equipos — la estructura no cambia.</t>
  </si>
  <si>
    <t xml:space="preserve">DECISIONES TOMADAS — REGISTRO DE AUDITORÍA</t>
  </si>
  <si>
    <t xml:space="preserve">Decisión</t>
  </si>
  <si>
    <t xml:space="preserve">Resolución</t>
  </si>
  <si>
    <t xml:space="preserve">Justificación</t>
  </si>
  <si>
    <t xml:space="preserve">Método de ponderación</t>
  </si>
  <si>
    <t xml:space="preserve">Potencial Acotado (√rent + techo 15%)</t>
  </si>
  <si>
    <t xml:space="preserve">Evita concentración inejecutable; premia potencial con rend. decrecientes</t>
  </si>
  <si>
    <t xml:space="preserve">Universo de agencias</t>
  </si>
  <si>
    <t xml:space="preserve">278 oficiales · 203 activas Fase 1</t>
  </si>
  <si>
    <t xml:space="preserve">Cobertura nacional sin diluir en no rentables</t>
  </si>
  <si>
    <t xml:space="preserve">Agencias no rentables</t>
  </si>
  <si>
    <t xml:space="preserve">Excluidas de Fase 1 (17 negativas)</t>
  </si>
  <si>
    <t xml:space="preserve">No se instala donde se pierde dinero en fase de velocidad</t>
  </si>
  <si>
    <t xml:space="preserve">Tamaño del universo</t>
  </si>
  <si>
    <t xml:space="preserve">Tiers por capacidad, no Pareto puro</t>
  </si>
  <si>
    <t xml:space="preserve">Velocidad no mejora concentrando (0,6 días); importa cobertura BDT</t>
  </si>
  <si>
    <t xml:space="preserve">AGENCIAS EXCLUIDAS — RENTABILIDAD NEGATIVA (17)</t>
  </si>
  <si>
    <t xml:space="preserve">Trujillo (200)</t>
  </si>
  <si>
    <t xml:space="preserve">Fuera Fase 1</t>
  </si>
  <si>
    <t xml:space="preserve">Sambil San Cristóbal (147)</t>
  </si>
  <si>
    <t xml:space="preserve">Tachira</t>
  </si>
  <si>
    <t xml:space="preserve">Maturin Av. Bolivar (665)</t>
  </si>
  <si>
    <t xml:space="preserve">Monagas</t>
  </si>
  <si>
    <t xml:space="preserve">Monay (417)</t>
  </si>
  <si>
    <t xml:space="preserve">Delicias (210)</t>
  </si>
  <si>
    <t xml:space="preserve">Mirimire Calle Bolívar (516)</t>
  </si>
  <si>
    <t xml:space="preserve">Falcon</t>
  </si>
  <si>
    <t xml:space="preserve">Villa del Rosario (536)</t>
  </si>
  <si>
    <t xml:space="preserve">Bailadores (201)</t>
  </si>
  <si>
    <t xml:space="preserve">Merida</t>
  </si>
  <si>
    <t xml:space="preserve">Abejales (205)</t>
  </si>
  <si>
    <t xml:space="preserve">Chaguaramas (142)</t>
  </si>
  <si>
    <t xml:space="preserve">Guarico</t>
  </si>
  <si>
    <t xml:space="preserve">Hospital Central (202)</t>
  </si>
  <si>
    <t xml:space="preserve">Barquisimeto Calle 25 (401)</t>
  </si>
  <si>
    <t xml:space="preserve">Santa Cruz de Bucaral (613)</t>
  </si>
  <si>
    <t xml:space="preserve">Pequiven el Tablazo (241)</t>
  </si>
  <si>
    <t xml:space="preserve">Sambil Maracaibo (580)</t>
  </si>
  <si>
    <t xml:space="preserve">Corpozulia (249)</t>
  </si>
  <si>
    <t xml:space="preserve">Atabapo (687)</t>
  </si>
  <si>
    <t xml:space="preserve">Amazonas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</si>
</sst>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#,##0"/>
    <numFmt numFmtId="168" formatCode="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E5A0"/>
      <name val="Arial"/>
      <family val="0"/>
      <charset val="1"/>
    </font>
    <font>
      <b val="true"/>
      <sz val="16"/>
      <color rgb="FFE8EEF7"/>
      <name val="Arial"/>
      <family val="0"/>
      <charset val="1"/>
    </font>
    <font>
      <sz val="9"/>
      <color rgb="FF9FB0CC"/>
      <name val="Arial"/>
      <family val="0"/>
      <charset val="1"/>
    </font>
    <font>
      <b val="true"/>
      <sz val="9"/>
      <color rgb="FF9FB0CC"/>
      <name val="Arial"/>
      <family val="0"/>
      <charset val="1"/>
    </font>
    <font>
      <b val="true"/>
      <sz val="11"/>
      <color rgb="FFE8EEF7"/>
      <name val="Arial"/>
      <family val="0"/>
      <charset val="1"/>
    </font>
    <font>
      <b val="true"/>
      <sz val="14"/>
      <color rgb="FF00E5A0"/>
      <name val="Arial"/>
      <family val="0"/>
      <charset val="1"/>
    </font>
    <font>
      <b val="true"/>
      <sz val="14"/>
      <color rgb="FF4C9FFF"/>
      <name val="Arial"/>
      <family val="0"/>
      <charset val="1"/>
    </font>
    <font>
      <b val="true"/>
      <sz val="14"/>
      <color rgb="FFFFB454"/>
      <name val="Arial"/>
      <family val="0"/>
      <charset val="1"/>
    </font>
    <font>
      <b val="true"/>
      <sz val="14"/>
      <color rgb="FF8B95AD"/>
      <name val="Arial"/>
      <family val="0"/>
      <charset val="1"/>
    </font>
    <font>
      <b val="true"/>
      <sz val="11"/>
      <color rgb="FF00E5A0"/>
      <name val="Arial"/>
      <family val="0"/>
      <charset val="1"/>
    </font>
    <font>
      <b val="true"/>
      <sz val="10"/>
      <color rgb="FF00E5A0"/>
      <name val="Arial"/>
      <family val="0"/>
      <charset val="1"/>
    </font>
    <font>
      <b val="true"/>
      <sz val="10"/>
      <color rgb="FFE8EEF7"/>
      <name val="Arial"/>
      <family val="0"/>
      <charset val="1"/>
    </font>
    <font>
      <sz val="10"/>
      <color rgb="FFE8EEF7"/>
      <name val="Arial"/>
      <family val="0"/>
      <charset val="1"/>
    </font>
    <font>
      <b val="true"/>
      <sz val="9"/>
      <color rgb="FFFF5470"/>
      <name val="Arial"/>
      <family val="0"/>
      <charset val="1"/>
    </font>
    <font>
      <b val="true"/>
      <sz val="10"/>
      <color rgb="FFFFB454"/>
      <name val="Arial"/>
      <family val="0"/>
      <charset val="1"/>
    </font>
    <font>
      <b val="true"/>
      <sz val="9"/>
      <color rgb="FFFFB454"/>
      <name val="Arial"/>
      <family val="0"/>
      <charset val="1"/>
    </font>
    <font>
      <b val="true"/>
      <sz val="10"/>
      <color rgb="FF4C9FFF"/>
      <name val="Arial"/>
      <family val="0"/>
      <charset val="1"/>
    </font>
    <font>
      <b val="true"/>
      <sz val="10"/>
      <color rgb="FFFF8FB0"/>
      <name val="Arial"/>
      <family val="0"/>
      <charset val="1"/>
    </font>
    <font>
      <b val="true"/>
      <sz val="11"/>
      <color rgb="FF4C9FFF"/>
      <name val="Arial"/>
      <family val="0"/>
      <charset val="1"/>
    </font>
    <font>
      <sz val="10"/>
      <color rgb="FF9FB0CC"/>
      <name val="Arial"/>
      <family val="0"/>
      <charset val="1"/>
    </font>
    <font>
      <b val="true"/>
      <sz val="11"/>
      <color rgb="FFFFB454"/>
      <name val="Arial"/>
      <family val="0"/>
      <charset val="1"/>
    </font>
    <font>
      <b val="true"/>
      <sz val="11"/>
      <color rgb="FF9FB0CC"/>
      <name val="Arial"/>
      <family val="0"/>
      <charset val="1"/>
    </font>
    <font>
      <sz val="10"/>
      <color rgb="FF00E5A0"/>
      <name val="Arial"/>
      <family val="0"/>
      <charset val="1"/>
    </font>
    <font>
      <sz val="10"/>
      <color rgb="FF4C9FFF"/>
      <name val="Arial"/>
      <family val="0"/>
      <charset val="1"/>
    </font>
    <font>
      <sz val="10"/>
      <color rgb="FFFFB454"/>
      <name val="Arial"/>
      <family val="0"/>
      <charset val="1"/>
    </font>
    <font>
      <sz val="10"/>
      <color rgb="FF8B95AD"/>
      <name val="Arial"/>
      <family val="0"/>
      <charset val="1"/>
    </font>
    <font>
      <sz val="9"/>
      <color rgb="FF00E5A0"/>
      <name val="Arial"/>
      <family val="0"/>
      <charset val="1"/>
    </font>
    <font>
      <sz val="10"/>
      <color rgb="FFFF5470"/>
      <name val="Arial"/>
      <family val="0"/>
      <charset val="1"/>
    </font>
    <font>
      <sz val="9"/>
      <color rgb="FFFFB454"/>
      <name val="Arial"/>
      <family val="0"/>
      <charset val="1"/>
    </font>
    <font>
      <sz val="9"/>
      <color rgb="FF4C9FFF"/>
      <name val="Arial"/>
      <family val="0"/>
      <charset val="1"/>
    </font>
    <font>
      <sz val="9"/>
      <color rgb="FFFF8FB0"/>
      <name val="Arial"/>
      <family val="0"/>
      <charset val="1"/>
    </font>
    <font>
      <b val="true"/>
      <sz val="11"/>
      <color rgb="FF8B95AD"/>
      <name val="Arial"/>
      <family val="0"/>
      <charset val="1"/>
    </font>
    <font>
      <b val="true"/>
      <sz val="10"/>
      <color rgb="FF8B95AD"/>
      <name val="Arial"/>
      <family val="0"/>
      <charset val="1"/>
    </font>
    <font>
      <b val="true"/>
      <sz val="9"/>
      <color rgb="FF4C9FFF"/>
      <name val="Arial"/>
      <family val="0"/>
      <charset val="1"/>
    </font>
    <font>
      <sz val="9"/>
      <color rgb="FF5E6E8C"/>
      <name val="Arial"/>
      <family val="0"/>
      <charset val="1"/>
    </font>
    <font>
      <b val="true"/>
      <sz val="9"/>
      <color rgb="FF8B95AD"/>
      <name val="Arial"/>
      <family val="0"/>
      <charset val="1"/>
    </font>
    <font>
      <b val="true"/>
      <sz val="9"/>
      <color rgb="FF5E6E8C"/>
      <name val="Arial"/>
      <family val="0"/>
      <charset val="1"/>
    </font>
    <font>
      <b val="true"/>
      <sz val="10"/>
      <color rgb="FFFF5470"/>
      <name val="Arial"/>
      <family val="0"/>
      <charset val="1"/>
    </font>
    <font>
      <b val="true"/>
      <sz val="11"/>
      <color rgb="FFFF5470"/>
      <name val="Arial"/>
      <family val="0"/>
      <charset val="1"/>
    </font>
    <font>
      <sz val="9"/>
      <color rgb="FFFF547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70B14"/>
        <bgColor rgb="FF000000"/>
      </patternFill>
    </fill>
    <fill>
      <patternFill patternType="solid">
        <fgColor rgb="FF111B2E"/>
        <bgColor rgb="FF070B1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B95AD"/>
      </bottom>
      <diagonal/>
    </border>
    <border diagonalUp="false" diagonalDown="false">
      <left/>
      <right/>
      <top/>
      <bottom style="thin">
        <color rgb="FF1E2C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0B14"/>
      <rgbColor rgb="FF808000"/>
      <rgbColor rgb="FF800080"/>
      <rgbColor rgb="FF008080"/>
      <rgbColor rgb="FF9FB0CC"/>
      <rgbColor rgb="FF808080"/>
      <rgbColor rgb="FF9999FF"/>
      <rgbColor rgb="FF993366"/>
      <rgbColor rgb="FFFFFFCC"/>
      <rgbColor rgb="FFCCFFFF"/>
      <rgbColor rgb="FF660066"/>
      <rgbColor rgb="FFFF547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5A0"/>
      <rgbColor rgb="FFCCFFFF"/>
      <rgbColor rgb="FFCCFFCC"/>
      <rgbColor rgb="FFFFFF99"/>
      <rgbColor rgb="FF99CCFF"/>
      <rgbColor rgb="FFFF8FB0"/>
      <rgbColor rgb="FFCC99FF"/>
      <rgbColor rgb="FFFFB454"/>
      <rgbColor rgb="FF3366FF"/>
      <rgbColor rgb="FF4C9FFF"/>
      <rgbColor rgb="FF99CC00"/>
      <rgbColor rgb="FFFFCC00"/>
      <rgbColor rgb="FFFF9900"/>
      <rgbColor rgb="FFFF6600"/>
      <rgbColor rgb="FF5E6E8C"/>
      <rgbColor rgb="FF8B95AD"/>
      <rgbColor rgb="FF003366"/>
      <rgbColor rgb="FF339966"/>
      <rgbColor rgb="FF111B2E"/>
      <rgbColor rgb="FF333300"/>
      <rgbColor rgb="FF993300"/>
      <rgbColor rgb="FF993366"/>
      <rgbColor rgb="FF333399"/>
      <rgbColor rgb="FF1E2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6" min="5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2"/>
      <c r="H2" s="2"/>
      <c r="I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2"/>
      <c r="E5" s="2"/>
      <c r="F5" s="2"/>
      <c r="G5" s="2"/>
      <c r="H5" s="2"/>
      <c r="I5" s="2"/>
    </row>
    <row r="6" customFormat="false" ht="21.75" hidden="false" customHeight="true" outlineLevel="0" collapsed="false">
      <c r="A6" s="6" t="s">
        <v>6</v>
      </c>
      <c r="B6" s="7" t="s">
        <v>7</v>
      </c>
      <c r="C6" s="8" t="s">
        <v>8</v>
      </c>
      <c r="D6" s="2"/>
      <c r="E6" s="2"/>
      <c r="F6" s="2"/>
      <c r="G6" s="2"/>
      <c r="H6" s="2"/>
      <c r="I6" s="2"/>
    </row>
    <row r="7" customFormat="false" ht="21.75" hidden="false" customHeight="true" outlineLevel="0" collapsed="false">
      <c r="A7" s="6" t="s">
        <v>9</v>
      </c>
      <c r="B7" s="9" t="s">
        <v>10</v>
      </c>
      <c r="C7" s="8" t="s">
        <v>11</v>
      </c>
      <c r="D7" s="2"/>
      <c r="E7" s="2"/>
      <c r="F7" s="2"/>
      <c r="G7" s="2"/>
      <c r="H7" s="2"/>
      <c r="I7" s="2"/>
    </row>
    <row r="8" customFormat="false" ht="21.75" hidden="false" customHeight="true" outlineLevel="0" collapsed="false">
      <c r="A8" s="6" t="s">
        <v>12</v>
      </c>
      <c r="B8" s="10" t="s">
        <v>13</v>
      </c>
      <c r="C8" s="8" t="s">
        <v>14</v>
      </c>
      <c r="D8" s="2"/>
      <c r="E8" s="2"/>
      <c r="F8" s="2"/>
      <c r="G8" s="2"/>
      <c r="H8" s="2"/>
      <c r="I8" s="2"/>
    </row>
    <row r="9" customFormat="false" ht="21.75" hidden="false" customHeight="true" outlineLevel="0" collapsed="false">
      <c r="A9" s="6" t="s">
        <v>15</v>
      </c>
      <c r="B9" s="11" t="s">
        <v>16</v>
      </c>
      <c r="C9" s="8" t="s">
        <v>17</v>
      </c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12" t="s">
        <v>18</v>
      </c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13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2"/>
      <c r="H12" s="2"/>
      <c r="I12" s="2"/>
    </row>
    <row r="13" customFormat="false" ht="15" hidden="false" customHeight="false" outlineLevel="0" collapsed="false">
      <c r="A13" s="15" t="s">
        <v>25</v>
      </c>
      <c r="B13" s="16" t="n">
        <v>1158</v>
      </c>
      <c r="C13" s="17" t="n">
        <v>0.579</v>
      </c>
      <c r="D13" s="18" t="n">
        <v>66</v>
      </c>
      <c r="E13" s="17" t="n">
        <v>0.141</v>
      </c>
      <c r="F13" s="19" t="s">
        <v>26</v>
      </c>
      <c r="G13" s="2"/>
      <c r="H13" s="2"/>
      <c r="I13" s="2"/>
    </row>
    <row r="14" customFormat="false" ht="15" hidden="false" customHeight="false" outlineLevel="0" collapsed="false">
      <c r="A14" s="20" t="s">
        <v>27</v>
      </c>
      <c r="B14" s="16" t="n">
        <v>250</v>
      </c>
      <c r="C14" s="17" t="n">
        <v>0.125</v>
      </c>
      <c r="D14" s="18" t="n">
        <v>42</v>
      </c>
      <c r="E14" s="17" t="n">
        <v>0.213</v>
      </c>
      <c r="F14" s="21" t="s">
        <v>28</v>
      </c>
      <c r="G14" s="2"/>
      <c r="H14" s="2"/>
      <c r="I14" s="2"/>
    </row>
    <row r="15" customFormat="false" ht="15" hidden="false" customHeight="false" outlineLevel="0" collapsed="false">
      <c r="A15" s="22" t="s">
        <v>29</v>
      </c>
      <c r="B15" s="16" t="n">
        <v>418</v>
      </c>
      <c r="C15" s="17" t="n">
        <v>0.209</v>
      </c>
      <c r="D15" s="18" t="n">
        <v>57</v>
      </c>
      <c r="E15" s="17" t="n">
        <v>0.172</v>
      </c>
      <c r="F15" s="19" t="s">
        <v>26</v>
      </c>
      <c r="G15" s="2"/>
      <c r="H15" s="2"/>
      <c r="I15" s="2"/>
    </row>
    <row r="16" customFormat="false" ht="15" hidden="false" customHeight="false" outlineLevel="0" collapsed="false">
      <c r="A16" s="23" t="s">
        <v>30</v>
      </c>
      <c r="B16" s="16" t="n">
        <v>174</v>
      </c>
      <c r="C16" s="17" t="n">
        <v>0.087</v>
      </c>
      <c r="D16" s="18" t="n">
        <v>38</v>
      </c>
      <c r="E16" s="17" t="n">
        <v>0.294</v>
      </c>
      <c r="F16" s="21" t="s">
        <v>28</v>
      </c>
      <c r="G16" s="2"/>
      <c r="H16" s="2"/>
      <c r="I16" s="2"/>
    </row>
    <row r="17" customFormat="false" ht="15" hidden="false" customHeight="false" outlineLevel="0" collapsed="false">
      <c r="A17" s="24" t="s">
        <v>31</v>
      </c>
      <c r="B17" s="25" t="n">
        <f aca="false">SUM(B13:B16)</f>
        <v>2000</v>
      </c>
      <c r="C17" s="2"/>
      <c r="D17" s="25" t="n">
        <f aca="false">SUM(D13:D16)</f>
        <v>203</v>
      </c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</row>
    <row r="2" customFormat="false" ht="24" hidden="false" customHeight="true" outlineLevel="0" collapsed="false">
      <c r="A2" s="3" t="s">
        <v>32</v>
      </c>
      <c r="B2" s="3"/>
      <c r="C2" s="3"/>
      <c r="D2" s="3"/>
      <c r="E2" s="2"/>
      <c r="F2" s="2"/>
      <c r="G2" s="2"/>
      <c r="H2" s="2"/>
      <c r="I2" s="2"/>
    </row>
    <row r="3" customFormat="false" ht="15.75" hidden="false" customHeight="true" outlineLevel="0" collapsed="false">
      <c r="A3" s="4" t="s">
        <v>33</v>
      </c>
      <c r="B3" s="4"/>
      <c r="C3" s="4"/>
      <c r="D3" s="4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2"/>
      <c r="B5" s="26" t="s">
        <v>34</v>
      </c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2"/>
      <c r="B6" s="27" t="s">
        <v>35</v>
      </c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2"/>
      <c r="B7" s="27" t="s">
        <v>36</v>
      </c>
      <c r="C7" s="2"/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2"/>
      <c r="B8" s="27" t="s">
        <v>37</v>
      </c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12" t="s">
        <v>38</v>
      </c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7" t="s">
        <v>39</v>
      </c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7" t="s">
        <v>40</v>
      </c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7" t="s">
        <v>41</v>
      </c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7" t="s">
        <v>42</v>
      </c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8" t="s">
        <v>43</v>
      </c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7" t="s">
        <v>44</v>
      </c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7" t="s">
        <v>45</v>
      </c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7" t="s">
        <v>46</v>
      </c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9" t="s">
        <v>47</v>
      </c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7" t="s">
        <v>48</v>
      </c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7" t="s">
        <v>49</v>
      </c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7" t="s">
        <v>50</v>
      </c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</row>
    <row r="2" customFormat="false" ht="24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  <c r="J2" s="2"/>
      <c r="K2" s="2"/>
    </row>
    <row r="3" customFormat="false" ht="15.75" hidden="false" customHeight="true" outlineLevel="0" collapsed="false">
      <c r="A3" s="4" t="s">
        <v>52</v>
      </c>
      <c r="B3" s="4"/>
      <c r="C3" s="4"/>
      <c r="D3" s="4"/>
      <c r="E3" s="4"/>
      <c r="F3" s="4"/>
      <c r="G3" s="4"/>
      <c r="H3" s="4"/>
      <c r="I3" s="4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13" t="s">
        <v>53</v>
      </c>
      <c r="B5" s="14" t="s">
        <v>20</v>
      </c>
      <c r="C5" s="14" t="s">
        <v>21</v>
      </c>
      <c r="D5" s="14" t="s">
        <v>22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2"/>
      <c r="K5" s="2"/>
    </row>
    <row r="6" customFormat="false" ht="15" hidden="false" customHeight="false" outlineLevel="0" collapsed="false">
      <c r="A6" s="15" t="s">
        <v>25</v>
      </c>
      <c r="B6" s="16" t="n">
        <v>1158</v>
      </c>
      <c r="C6" s="17" t="n">
        <v>0.579</v>
      </c>
      <c r="D6" s="18" t="n">
        <v>66</v>
      </c>
      <c r="E6" s="17" t="n">
        <v>0.141</v>
      </c>
      <c r="F6" s="30" t="n">
        <v>10</v>
      </c>
      <c r="G6" s="31" t="n">
        <v>20</v>
      </c>
      <c r="H6" s="32" t="n">
        <v>21</v>
      </c>
      <c r="I6" s="33" t="n">
        <v>15</v>
      </c>
      <c r="J6" s="2"/>
      <c r="K6" s="2"/>
    </row>
    <row r="7" customFormat="false" ht="15" hidden="false" customHeight="false" outlineLevel="0" collapsed="false">
      <c r="A7" s="20" t="s">
        <v>27</v>
      </c>
      <c r="B7" s="16" t="n">
        <v>250</v>
      </c>
      <c r="C7" s="17" t="n">
        <v>0.125</v>
      </c>
      <c r="D7" s="18" t="n">
        <v>42</v>
      </c>
      <c r="E7" s="17" t="n">
        <v>0.213</v>
      </c>
      <c r="F7" s="30" t="n">
        <v>5</v>
      </c>
      <c r="G7" s="31" t="n">
        <v>8</v>
      </c>
      <c r="H7" s="32" t="n">
        <v>13</v>
      </c>
      <c r="I7" s="33" t="n">
        <v>16</v>
      </c>
      <c r="J7" s="2"/>
      <c r="K7" s="2"/>
    </row>
    <row r="8" customFormat="false" ht="15" hidden="false" customHeight="false" outlineLevel="0" collapsed="false">
      <c r="A8" s="22" t="s">
        <v>29</v>
      </c>
      <c r="B8" s="16" t="n">
        <v>418</v>
      </c>
      <c r="C8" s="17" t="n">
        <v>0.209</v>
      </c>
      <c r="D8" s="18" t="n">
        <v>57</v>
      </c>
      <c r="E8" s="17" t="n">
        <v>0.172</v>
      </c>
      <c r="F8" s="30" t="n">
        <v>4</v>
      </c>
      <c r="G8" s="31" t="n">
        <v>8</v>
      </c>
      <c r="H8" s="32" t="n">
        <v>16</v>
      </c>
      <c r="I8" s="33" t="n">
        <v>29</v>
      </c>
      <c r="J8" s="2"/>
      <c r="K8" s="2"/>
    </row>
    <row r="9" customFormat="false" ht="15" hidden="false" customHeight="false" outlineLevel="0" collapsed="false">
      <c r="A9" s="23" t="s">
        <v>30</v>
      </c>
      <c r="B9" s="16" t="n">
        <v>174</v>
      </c>
      <c r="C9" s="17" t="n">
        <v>0.087</v>
      </c>
      <c r="D9" s="18" t="n">
        <v>38</v>
      </c>
      <c r="E9" s="17" t="n">
        <v>0.294</v>
      </c>
      <c r="F9" s="30" t="n">
        <v>2</v>
      </c>
      <c r="G9" s="31" t="n">
        <v>4</v>
      </c>
      <c r="H9" s="32" t="n">
        <v>11</v>
      </c>
      <c r="I9" s="33" t="n">
        <v>21</v>
      </c>
      <c r="J9" s="2"/>
      <c r="K9" s="2"/>
    </row>
    <row r="10" customFormat="false" ht="15" hidden="false" customHeight="false" outlineLevel="0" collapsed="false">
      <c r="A10" s="24" t="s">
        <v>31</v>
      </c>
      <c r="B10" s="25" t="n">
        <f aca="false">SUM(B6:B9)</f>
        <v>2000</v>
      </c>
      <c r="C10" s="2"/>
      <c r="D10" s="25" t="n">
        <f aca="false">SUM(D6:D9)</f>
        <v>203</v>
      </c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12" t="s">
        <v>59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13" t="s">
        <v>60</v>
      </c>
      <c r="B13" s="14" t="s">
        <v>19</v>
      </c>
      <c r="C13" s="14" t="s">
        <v>20</v>
      </c>
      <c r="D13" s="14" t="s">
        <v>61</v>
      </c>
      <c r="E13" s="14" t="s">
        <v>62</v>
      </c>
      <c r="F13" s="14" t="s">
        <v>63</v>
      </c>
      <c r="G13" s="14" t="s">
        <v>64</v>
      </c>
      <c r="H13" s="14" t="s">
        <v>65</v>
      </c>
      <c r="I13" s="14" t="s">
        <v>66</v>
      </c>
      <c r="J13" s="2"/>
      <c r="K13" s="2"/>
    </row>
    <row r="14" customFormat="false" ht="15" hidden="false" customHeight="false" outlineLevel="0" collapsed="false">
      <c r="A14" s="34" t="s">
        <v>67</v>
      </c>
      <c r="B14" s="35" t="s">
        <v>68</v>
      </c>
      <c r="C14" s="16" t="n">
        <v>734</v>
      </c>
      <c r="D14" s="36" t="n">
        <v>0.367</v>
      </c>
      <c r="E14" s="37" t="n">
        <v>9540</v>
      </c>
      <c r="F14" s="37" t="n">
        <v>1014</v>
      </c>
      <c r="G14" s="38" t="n">
        <v>0.106</v>
      </c>
      <c r="H14" s="37" t="n">
        <v>8526</v>
      </c>
      <c r="I14" s="39" t="n">
        <v>0.15</v>
      </c>
      <c r="J14" s="2"/>
      <c r="K14" s="2"/>
    </row>
    <row r="15" customFormat="false" ht="15" hidden="false" customHeight="false" outlineLevel="0" collapsed="false">
      <c r="A15" s="34" t="s">
        <v>69</v>
      </c>
      <c r="B15" s="35" t="s">
        <v>68</v>
      </c>
      <c r="C15" s="16" t="n">
        <v>181</v>
      </c>
      <c r="D15" s="36" t="n">
        <v>0.09</v>
      </c>
      <c r="E15" s="37" t="n">
        <v>2385</v>
      </c>
      <c r="F15" s="37" t="n">
        <v>278</v>
      </c>
      <c r="G15" s="38" t="n">
        <v>0.117</v>
      </c>
      <c r="H15" s="37" t="n">
        <v>2107</v>
      </c>
      <c r="I15" s="39" t="n">
        <v>0.15</v>
      </c>
      <c r="J15" s="2"/>
      <c r="K15" s="2"/>
    </row>
    <row r="16" customFormat="false" ht="15" hidden="false" customHeight="false" outlineLevel="0" collapsed="false">
      <c r="A16" s="34" t="s">
        <v>70</v>
      </c>
      <c r="B16" s="35" t="s">
        <v>68</v>
      </c>
      <c r="C16" s="16" t="n">
        <v>78</v>
      </c>
      <c r="D16" s="36" t="n">
        <v>0.039</v>
      </c>
      <c r="E16" s="37" t="n">
        <v>1113</v>
      </c>
      <c r="F16" s="37" t="n">
        <v>217</v>
      </c>
      <c r="G16" s="38" t="n">
        <v>0.195</v>
      </c>
      <c r="H16" s="37" t="n">
        <v>896</v>
      </c>
      <c r="I16" s="39" t="n">
        <v>0.15</v>
      </c>
      <c r="J16" s="2"/>
      <c r="K16" s="2"/>
    </row>
    <row r="17" customFormat="false" ht="15" hidden="false" customHeight="false" outlineLevel="0" collapsed="false">
      <c r="A17" s="34" t="s">
        <v>71</v>
      </c>
      <c r="B17" s="35" t="s">
        <v>68</v>
      </c>
      <c r="C17" s="16" t="n">
        <v>45</v>
      </c>
      <c r="D17" s="36" t="n">
        <v>0.022</v>
      </c>
      <c r="E17" s="37" t="n">
        <v>636</v>
      </c>
      <c r="F17" s="37" t="n">
        <v>116</v>
      </c>
      <c r="G17" s="38" t="n">
        <v>0.182</v>
      </c>
      <c r="H17" s="37" t="n">
        <v>520</v>
      </c>
      <c r="I17" s="39" t="n">
        <v>0.38</v>
      </c>
      <c r="J17" s="2"/>
      <c r="K17" s="2"/>
    </row>
    <row r="18" customFormat="false" ht="15" hidden="false" customHeight="false" outlineLevel="0" collapsed="false">
      <c r="A18" s="34" t="s">
        <v>72</v>
      </c>
      <c r="B18" s="35" t="s">
        <v>68</v>
      </c>
      <c r="C18" s="16" t="n">
        <v>44</v>
      </c>
      <c r="D18" s="36" t="n">
        <v>0.022</v>
      </c>
      <c r="E18" s="37" t="n">
        <v>636</v>
      </c>
      <c r="F18" s="37" t="n">
        <v>122</v>
      </c>
      <c r="G18" s="38" t="n">
        <v>0.192</v>
      </c>
      <c r="H18" s="37" t="n">
        <v>514</v>
      </c>
      <c r="I18" s="39" t="n">
        <v>0.2</v>
      </c>
      <c r="J18" s="2"/>
      <c r="K18" s="2"/>
    </row>
    <row r="19" customFormat="false" ht="15" hidden="false" customHeight="false" outlineLevel="0" collapsed="false">
      <c r="A19" s="34" t="s">
        <v>73</v>
      </c>
      <c r="B19" s="35" t="s">
        <v>68</v>
      </c>
      <c r="C19" s="16" t="n">
        <v>41</v>
      </c>
      <c r="D19" s="36" t="n">
        <v>0.021</v>
      </c>
      <c r="E19" s="37" t="n">
        <v>954</v>
      </c>
      <c r="F19" s="37" t="n">
        <v>360</v>
      </c>
      <c r="G19" s="40" t="n">
        <v>0.377</v>
      </c>
      <c r="H19" s="37" t="n">
        <v>594</v>
      </c>
      <c r="I19" s="39" t="n">
        <v>0.17</v>
      </c>
      <c r="J19" s="2"/>
      <c r="K19" s="2"/>
    </row>
    <row r="20" customFormat="false" ht="15" hidden="false" customHeight="false" outlineLevel="0" collapsed="false">
      <c r="A20" s="34" t="s">
        <v>74</v>
      </c>
      <c r="B20" s="35" t="s">
        <v>68</v>
      </c>
      <c r="C20" s="16" t="n">
        <v>35</v>
      </c>
      <c r="D20" s="36" t="n">
        <v>0.018</v>
      </c>
      <c r="E20" s="37" t="n">
        <v>636</v>
      </c>
      <c r="F20" s="37" t="n">
        <v>128</v>
      </c>
      <c r="G20" s="41" t="n">
        <v>0.201</v>
      </c>
      <c r="H20" s="37" t="n">
        <v>508</v>
      </c>
      <c r="I20" s="39" t="n">
        <v>0.17</v>
      </c>
      <c r="J20" s="2"/>
      <c r="K20" s="2"/>
    </row>
    <row r="21" customFormat="false" ht="15" hidden="false" customHeight="false" outlineLevel="0" collapsed="false">
      <c r="A21" s="34" t="s">
        <v>75</v>
      </c>
      <c r="B21" s="42" t="s">
        <v>76</v>
      </c>
      <c r="C21" s="16" t="n">
        <v>86</v>
      </c>
      <c r="D21" s="36" t="n">
        <v>0.043</v>
      </c>
      <c r="E21" s="37" t="n">
        <v>1176</v>
      </c>
      <c r="F21" s="37" t="n">
        <v>180</v>
      </c>
      <c r="G21" s="38" t="n">
        <v>0.153</v>
      </c>
      <c r="H21" s="37" t="n">
        <v>996</v>
      </c>
      <c r="I21" s="39" t="n">
        <v>0.15</v>
      </c>
      <c r="J21" s="2"/>
      <c r="K21" s="2"/>
    </row>
    <row r="22" customFormat="false" ht="15" hidden="false" customHeight="false" outlineLevel="0" collapsed="false">
      <c r="A22" s="34" t="s">
        <v>77</v>
      </c>
      <c r="B22" s="42" t="s">
        <v>76</v>
      </c>
      <c r="C22" s="16" t="n">
        <v>81</v>
      </c>
      <c r="D22" s="36" t="n">
        <v>0.04</v>
      </c>
      <c r="E22" s="37" t="n">
        <v>1050</v>
      </c>
      <c r="F22" s="37" t="n">
        <v>111</v>
      </c>
      <c r="G22" s="38" t="n">
        <v>0.106</v>
      </c>
      <c r="H22" s="37" t="n">
        <v>939</v>
      </c>
      <c r="I22" s="39" t="n">
        <v>0.15</v>
      </c>
      <c r="J22" s="2"/>
      <c r="K22" s="2"/>
    </row>
    <row r="23" customFormat="false" ht="15" hidden="false" customHeight="false" outlineLevel="0" collapsed="false">
      <c r="A23" s="34" t="s">
        <v>78</v>
      </c>
      <c r="B23" s="42" t="s">
        <v>76</v>
      </c>
      <c r="C23" s="16" t="n">
        <v>56</v>
      </c>
      <c r="D23" s="36" t="n">
        <v>0.028</v>
      </c>
      <c r="E23" s="37" t="n">
        <v>1134</v>
      </c>
      <c r="F23" s="37" t="n">
        <v>325</v>
      </c>
      <c r="G23" s="41" t="n">
        <v>0.287</v>
      </c>
      <c r="H23" s="37" t="n">
        <v>809</v>
      </c>
      <c r="I23" s="39" t="n">
        <v>0.14</v>
      </c>
      <c r="J23" s="2"/>
      <c r="K23" s="2"/>
    </row>
    <row r="24" customFormat="false" ht="15" hidden="false" customHeight="false" outlineLevel="0" collapsed="false">
      <c r="A24" s="34" t="s">
        <v>79</v>
      </c>
      <c r="B24" s="42" t="s">
        <v>76</v>
      </c>
      <c r="C24" s="16" t="n">
        <v>27</v>
      </c>
      <c r="D24" s="36" t="n">
        <v>0.014</v>
      </c>
      <c r="E24" s="37" t="n">
        <v>630</v>
      </c>
      <c r="F24" s="37" t="n">
        <v>234</v>
      </c>
      <c r="G24" s="40" t="n">
        <v>0.371</v>
      </c>
      <c r="H24" s="37" t="n">
        <v>396</v>
      </c>
      <c r="I24" s="39" t="n">
        <v>0.19</v>
      </c>
      <c r="J24" s="2"/>
      <c r="K24" s="2"/>
    </row>
    <row r="25" customFormat="false" ht="15" hidden="false" customHeight="false" outlineLevel="0" collapsed="false">
      <c r="A25" s="34" t="s">
        <v>80</v>
      </c>
      <c r="B25" s="43" t="s">
        <v>81</v>
      </c>
      <c r="C25" s="16" t="n">
        <v>252</v>
      </c>
      <c r="D25" s="36" t="n">
        <v>0.126</v>
      </c>
      <c r="E25" s="37" t="n">
        <v>3213</v>
      </c>
      <c r="F25" s="37" t="n">
        <v>280</v>
      </c>
      <c r="G25" s="38" t="n">
        <v>0.087</v>
      </c>
      <c r="H25" s="37" t="n">
        <v>2933</v>
      </c>
      <c r="I25" s="39" t="n">
        <v>0.15</v>
      </c>
      <c r="J25" s="2"/>
      <c r="K25" s="2"/>
    </row>
    <row r="26" customFormat="false" ht="15" hidden="false" customHeight="false" outlineLevel="0" collapsed="false">
      <c r="A26" s="34" t="s">
        <v>82</v>
      </c>
      <c r="B26" s="43" t="s">
        <v>81</v>
      </c>
      <c r="C26" s="16" t="n">
        <v>62</v>
      </c>
      <c r="D26" s="36" t="n">
        <v>0.031</v>
      </c>
      <c r="E26" s="37" t="n">
        <v>1134</v>
      </c>
      <c r="F26" s="37" t="n">
        <v>236</v>
      </c>
      <c r="G26" s="41" t="n">
        <v>0.208</v>
      </c>
      <c r="H26" s="37" t="n">
        <v>898</v>
      </c>
      <c r="I26" s="39" t="n">
        <v>0.15</v>
      </c>
      <c r="J26" s="2"/>
      <c r="K26" s="2"/>
    </row>
    <row r="27" customFormat="false" ht="15" hidden="false" customHeight="false" outlineLevel="0" collapsed="false">
      <c r="A27" s="34" t="s">
        <v>83</v>
      </c>
      <c r="B27" s="43" t="s">
        <v>81</v>
      </c>
      <c r="C27" s="16" t="n">
        <v>40</v>
      </c>
      <c r="D27" s="36" t="n">
        <v>0.02</v>
      </c>
      <c r="E27" s="37" t="n">
        <v>567</v>
      </c>
      <c r="F27" s="37" t="n">
        <v>101</v>
      </c>
      <c r="G27" s="38" t="n">
        <v>0.178</v>
      </c>
      <c r="H27" s="37" t="n">
        <v>466</v>
      </c>
      <c r="I27" s="39" t="n">
        <v>0.55</v>
      </c>
      <c r="J27" s="2"/>
      <c r="K27" s="2"/>
    </row>
    <row r="28" customFormat="false" ht="15" hidden="false" customHeight="false" outlineLevel="0" collapsed="false">
      <c r="A28" s="34" t="s">
        <v>84</v>
      </c>
      <c r="B28" s="43" t="s">
        <v>81</v>
      </c>
      <c r="C28" s="16" t="n">
        <v>33</v>
      </c>
      <c r="D28" s="36" t="n">
        <v>0.016</v>
      </c>
      <c r="E28" s="37" t="n">
        <v>756</v>
      </c>
      <c r="F28" s="37" t="n">
        <v>283</v>
      </c>
      <c r="G28" s="40" t="n">
        <v>0.374</v>
      </c>
      <c r="H28" s="37" t="n">
        <v>473</v>
      </c>
      <c r="I28" s="39" t="n">
        <v>0.15</v>
      </c>
      <c r="J28" s="2"/>
      <c r="K28" s="2"/>
    </row>
    <row r="29" customFormat="false" ht="15" hidden="false" customHeight="false" outlineLevel="0" collapsed="false">
      <c r="A29" s="34" t="s">
        <v>85</v>
      </c>
      <c r="B29" s="43" t="s">
        <v>81</v>
      </c>
      <c r="C29" s="16" t="n">
        <v>31</v>
      </c>
      <c r="D29" s="36" t="n">
        <v>0.016</v>
      </c>
      <c r="E29" s="37" t="n">
        <v>630</v>
      </c>
      <c r="F29" s="37" t="n">
        <v>181</v>
      </c>
      <c r="G29" s="41" t="n">
        <v>0.287</v>
      </c>
      <c r="H29" s="37" t="n">
        <v>449</v>
      </c>
      <c r="I29" s="39" t="n">
        <v>0.16</v>
      </c>
      <c r="J29" s="2"/>
      <c r="K29" s="2"/>
    </row>
    <row r="30" customFormat="false" ht="15" hidden="false" customHeight="false" outlineLevel="0" collapsed="false">
      <c r="A30" s="34" t="s">
        <v>86</v>
      </c>
      <c r="B30" s="44" t="s">
        <v>87</v>
      </c>
      <c r="C30" s="16" t="n">
        <v>64</v>
      </c>
      <c r="D30" s="36" t="n">
        <v>0.032</v>
      </c>
      <c r="E30" s="37" t="n">
        <v>1296</v>
      </c>
      <c r="F30" s="37" t="n">
        <v>375</v>
      </c>
      <c r="G30" s="41" t="n">
        <v>0.289</v>
      </c>
      <c r="H30" s="37" t="n">
        <v>921</v>
      </c>
      <c r="I30" s="39" t="n">
        <v>0.16</v>
      </c>
      <c r="J30" s="2"/>
      <c r="K30" s="2"/>
    </row>
    <row r="31" customFormat="false" ht="15" hidden="false" customHeight="false" outlineLevel="0" collapsed="false">
      <c r="A31" s="34" t="s">
        <v>88</v>
      </c>
      <c r="B31" s="44" t="s">
        <v>87</v>
      </c>
      <c r="C31" s="16" t="n">
        <v>36</v>
      </c>
      <c r="D31" s="36" t="n">
        <v>0.018</v>
      </c>
      <c r="E31" s="37" t="n">
        <v>684</v>
      </c>
      <c r="F31" s="37" t="n">
        <v>157</v>
      </c>
      <c r="G31" s="41" t="n">
        <v>0.23</v>
      </c>
      <c r="H31" s="37" t="n">
        <v>527</v>
      </c>
      <c r="I31" s="39" t="n">
        <v>0.33</v>
      </c>
      <c r="J31" s="2"/>
      <c r="K31" s="2"/>
    </row>
    <row r="32" customFormat="false" ht="15" hidden="false" customHeight="false" outlineLevel="0" collapsed="false">
      <c r="A32" s="34" t="s">
        <v>89</v>
      </c>
      <c r="B32" s="44" t="s">
        <v>87</v>
      </c>
      <c r="C32" s="16" t="n">
        <v>34</v>
      </c>
      <c r="D32" s="36" t="n">
        <v>0.017</v>
      </c>
      <c r="E32" s="37" t="n">
        <v>684</v>
      </c>
      <c r="F32" s="37" t="n">
        <v>183</v>
      </c>
      <c r="G32" s="41" t="n">
        <v>0.268</v>
      </c>
      <c r="H32" s="37" t="n">
        <v>501</v>
      </c>
      <c r="I32" s="39" t="n">
        <v>0.15</v>
      </c>
      <c r="J32" s="2"/>
      <c r="K32" s="2"/>
    </row>
    <row r="33" customFormat="false" ht="15" hidden="false" customHeight="false" outlineLevel="0" collapsed="false">
      <c r="A33" s="34" t="s">
        <v>90</v>
      </c>
      <c r="B33" s="44" t="s">
        <v>87</v>
      </c>
      <c r="C33" s="16" t="n">
        <v>33</v>
      </c>
      <c r="D33" s="36" t="n">
        <v>0.016</v>
      </c>
      <c r="E33" s="37" t="n">
        <v>648</v>
      </c>
      <c r="F33" s="37" t="n">
        <v>177</v>
      </c>
      <c r="G33" s="41" t="n">
        <v>0.273</v>
      </c>
      <c r="H33" s="37" t="n">
        <v>471</v>
      </c>
      <c r="I33" s="39" t="n">
        <v>0.18</v>
      </c>
      <c r="J33" s="2"/>
      <c r="K33" s="2"/>
    </row>
    <row r="34" customFormat="false" ht="15" hidden="false" customHeight="false" outlineLevel="0" collapsed="false">
      <c r="A34" s="34" t="s">
        <v>91</v>
      </c>
      <c r="B34" s="44" t="s">
        <v>87</v>
      </c>
      <c r="C34" s="16" t="n">
        <v>7</v>
      </c>
      <c r="D34" s="36" t="n">
        <v>0.004</v>
      </c>
      <c r="E34" s="37" t="n">
        <v>288</v>
      </c>
      <c r="F34" s="37" t="n">
        <v>168</v>
      </c>
      <c r="G34" s="40" t="n">
        <v>0.583</v>
      </c>
      <c r="H34" s="37" t="n">
        <v>120</v>
      </c>
      <c r="I34" s="39" t="n">
        <v>0.43</v>
      </c>
      <c r="J34" s="2"/>
      <c r="K34" s="2"/>
    </row>
    <row r="35" customFormat="false" ht="15" hidden="false" customHeight="false" outlineLevel="0" collapsed="false">
      <c r="A35" s="2"/>
      <c r="B35" s="2"/>
      <c r="C35" s="25" t="n">
        <f aca="false">SUM(C14:C34)</f>
        <v>2000</v>
      </c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</row>
    <row r="2" customFormat="false" ht="24" hidden="false" customHeight="true" outlineLevel="0" collapsed="false">
      <c r="A2" s="3" t="s">
        <v>92</v>
      </c>
      <c r="B2" s="3"/>
      <c r="C2" s="3"/>
      <c r="D2" s="3"/>
      <c r="E2" s="3"/>
      <c r="F2" s="3"/>
      <c r="G2" s="2"/>
      <c r="H2" s="2"/>
      <c r="I2" s="2"/>
    </row>
    <row r="3" customFormat="false" ht="15.75" hidden="false" customHeight="true" outlineLevel="0" collapsed="false">
      <c r="A3" s="4" t="s">
        <v>93</v>
      </c>
      <c r="B3" s="4"/>
      <c r="C3" s="4"/>
      <c r="D3" s="4"/>
      <c r="E3" s="4"/>
      <c r="F3" s="4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3" t="s">
        <v>94</v>
      </c>
      <c r="B5" s="14" t="s">
        <v>95</v>
      </c>
      <c r="C5" s="14" t="s">
        <v>22</v>
      </c>
      <c r="D5" s="14" t="s">
        <v>20</v>
      </c>
      <c r="E5" s="14" t="s">
        <v>21</v>
      </c>
      <c r="F5" s="14" t="s">
        <v>96</v>
      </c>
      <c r="G5" s="2"/>
      <c r="H5" s="2"/>
      <c r="I5" s="2"/>
    </row>
    <row r="6" customFormat="false" ht="19.5" hidden="false" customHeight="true" outlineLevel="0" collapsed="false">
      <c r="A6" s="45" t="s">
        <v>55</v>
      </c>
      <c r="B6" s="34" t="s">
        <v>97</v>
      </c>
      <c r="C6" s="18" t="n">
        <v>21</v>
      </c>
      <c r="D6" s="46" t="n">
        <v>674</v>
      </c>
      <c r="E6" s="39" t="n">
        <v>0.34</v>
      </c>
      <c r="F6" s="47" t="s">
        <v>98</v>
      </c>
      <c r="G6" s="2"/>
      <c r="H6" s="2"/>
      <c r="I6" s="2"/>
    </row>
    <row r="7" customFormat="false" ht="19.5" hidden="false" customHeight="true" outlineLevel="0" collapsed="false">
      <c r="A7" s="48" t="s">
        <v>56</v>
      </c>
      <c r="B7" s="34" t="s">
        <v>99</v>
      </c>
      <c r="C7" s="18" t="n">
        <v>40</v>
      </c>
      <c r="D7" s="49" t="n">
        <v>595</v>
      </c>
      <c r="E7" s="39" t="n">
        <v>0.3</v>
      </c>
      <c r="F7" s="47" t="s">
        <v>100</v>
      </c>
      <c r="G7" s="2"/>
      <c r="H7" s="2"/>
      <c r="I7" s="2"/>
    </row>
    <row r="8" customFormat="false" ht="19.5" hidden="false" customHeight="true" outlineLevel="0" collapsed="false">
      <c r="A8" s="50" t="s">
        <v>57</v>
      </c>
      <c r="B8" s="34" t="s">
        <v>101</v>
      </c>
      <c r="C8" s="18" t="n">
        <v>61</v>
      </c>
      <c r="D8" s="51" t="n">
        <v>413</v>
      </c>
      <c r="E8" s="39" t="n">
        <v>0.21</v>
      </c>
      <c r="F8" s="47" t="s">
        <v>102</v>
      </c>
      <c r="G8" s="2"/>
      <c r="H8" s="2"/>
      <c r="I8" s="2"/>
    </row>
    <row r="9" customFormat="false" ht="19.5" hidden="false" customHeight="true" outlineLevel="0" collapsed="false">
      <c r="A9" s="52" t="s">
        <v>58</v>
      </c>
      <c r="B9" s="34" t="s">
        <v>103</v>
      </c>
      <c r="C9" s="18" t="n">
        <v>81</v>
      </c>
      <c r="D9" s="53" t="n">
        <v>318</v>
      </c>
      <c r="E9" s="39" t="n">
        <v>0.16</v>
      </c>
      <c r="F9" s="47" t="s">
        <v>104</v>
      </c>
      <c r="G9" s="2"/>
      <c r="H9" s="2"/>
      <c r="I9" s="2"/>
    </row>
    <row r="10" customFormat="false" ht="15" hidden="false" customHeight="false" outlineLevel="0" collapsed="false">
      <c r="A10" s="24" t="s">
        <v>31</v>
      </c>
      <c r="B10" s="2"/>
      <c r="C10" s="25" t="n">
        <f aca="false">SUM(C6:C9)</f>
        <v>203</v>
      </c>
      <c r="D10" s="25" t="n">
        <f aca="false">SUM(D6:D9)</f>
        <v>2000</v>
      </c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12" t="s">
        <v>105</v>
      </c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4" t="s">
        <v>55</v>
      </c>
      <c r="B13" s="54" t="s">
        <v>106</v>
      </c>
      <c r="C13" s="54"/>
      <c r="D13" s="54"/>
      <c r="E13" s="54"/>
      <c r="F13" s="54"/>
      <c r="G13" s="2"/>
      <c r="H13" s="2"/>
      <c r="I13" s="2"/>
    </row>
    <row r="14" customFormat="false" ht="15" hidden="false" customHeight="false" outlineLevel="0" collapsed="false">
      <c r="A14" s="55" t="s">
        <v>56</v>
      </c>
      <c r="B14" s="54" t="s">
        <v>107</v>
      </c>
      <c r="C14" s="54"/>
      <c r="D14" s="54"/>
      <c r="E14" s="54"/>
      <c r="F14" s="54"/>
      <c r="G14" s="2"/>
      <c r="H14" s="2"/>
      <c r="I14" s="2"/>
    </row>
    <row r="15" customFormat="false" ht="15" hidden="false" customHeight="false" outlineLevel="0" collapsed="false">
      <c r="A15" s="56" t="s">
        <v>57</v>
      </c>
      <c r="B15" s="54" t="s">
        <v>108</v>
      </c>
      <c r="C15" s="54"/>
      <c r="D15" s="54"/>
      <c r="E15" s="54"/>
      <c r="F15" s="54"/>
      <c r="G15" s="2"/>
      <c r="H15" s="2"/>
      <c r="I15" s="2"/>
    </row>
    <row r="16" customFormat="false" ht="15" hidden="false" customHeight="false" outlineLevel="0" collapsed="false">
      <c r="A16" s="57" t="s">
        <v>58</v>
      </c>
      <c r="B16" s="54" t="s">
        <v>109</v>
      </c>
      <c r="C16" s="54"/>
      <c r="D16" s="54"/>
      <c r="E16" s="54"/>
      <c r="F16" s="54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</sheetData>
  <mergeCells count="7">
    <mergeCell ref="A1:F1"/>
    <mergeCell ref="A2:F2"/>
    <mergeCell ref="A3:F3"/>
    <mergeCell ref="B13:F1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2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24" hidden="false" customHeight="true" outlineLevel="0" collapsed="false">
      <c r="A2" s="3" t="s">
        <v>110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5.75" hidden="false" customHeight="true" outlineLevel="0" collapsed="false">
      <c r="A3" s="4" t="s">
        <v>111</v>
      </c>
      <c r="B3" s="4"/>
      <c r="C3" s="4"/>
      <c r="D3" s="4"/>
      <c r="E3" s="4"/>
      <c r="F3" s="4"/>
      <c r="G3" s="4"/>
      <c r="H3" s="4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13" t="s">
        <v>112</v>
      </c>
      <c r="B5" s="14" t="s">
        <v>60</v>
      </c>
      <c r="C5" s="14" t="s">
        <v>19</v>
      </c>
      <c r="D5" s="14" t="s">
        <v>113</v>
      </c>
      <c r="E5" s="14" t="s">
        <v>20</v>
      </c>
      <c r="F5" s="14" t="s">
        <v>94</v>
      </c>
      <c r="G5" s="14" t="s">
        <v>96</v>
      </c>
      <c r="H5" s="14" t="s">
        <v>114</v>
      </c>
      <c r="I5" s="2"/>
      <c r="J5" s="2"/>
    </row>
    <row r="6" customFormat="false" ht="15" hidden="false" customHeight="false" outlineLevel="0" collapsed="false">
      <c r="A6" s="34" t="s">
        <v>115</v>
      </c>
      <c r="B6" s="8" t="s">
        <v>72</v>
      </c>
      <c r="C6" s="35" t="s">
        <v>68</v>
      </c>
      <c r="D6" s="58" t="n">
        <v>21389978.69</v>
      </c>
      <c r="E6" s="49" t="n">
        <v>9</v>
      </c>
      <c r="F6" s="59" t="s">
        <v>56</v>
      </c>
      <c r="G6" s="8" t="s">
        <v>100</v>
      </c>
      <c r="H6" s="60" t="s">
        <v>116</v>
      </c>
      <c r="I6" s="2"/>
      <c r="J6" s="2"/>
    </row>
    <row r="7" customFormat="false" ht="15" hidden="false" customHeight="false" outlineLevel="0" collapsed="false">
      <c r="A7" s="34" t="s">
        <v>117</v>
      </c>
      <c r="B7" s="8" t="s">
        <v>72</v>
      </c>
      <c r="C7" s="35" t="s">
        <v>68</v>
      </c>
      <c r="D7" s="58" t="n">
        <v>12765576.85</v>
      </c>
      <c r="E7" s="51" t="n">
        <v>7</v>
      </c>
      <c r="F7" s="21" t="s">
        <v>57</v>
      </c>
      <c r="G7" s="8" t="s">
        <v>102</v>
      </c>
      <c r="H7" s="60" t="s">
        <v>118</v>
      </c>
      <c r="I7" s="2"/>
      <c r="J7" s="2"/>
    </row>
    <row r="8" customFormat="false" ht="15" hidden="false" customHeight="false" outlineLevel="0" collapsed="false">
      <c r="A8" s="34" t="s">
        <v>119</v>
      </c>
      <c r="B8" s="8" t="s">
        <v>72</v>
      </c>
      <c r="C8" s="35" t="s">
        <v>68</v>
      </c>
      <c r="D8" s="58" t="n">
        <v>10459149.83</v>
      </c>
      <c r="E8" s="51" t="n">
        <v>7</v>
      </c>
      <c r="F8" s="21" t="s">
        <v>57</v>
      </c>
      <c r="G8" s="8" t="s">
        <v>102</v>
      </c>
      <c r="H8" s="60" t="s">
        <v>118</v>
      </c>
      <c r="I8" s="2"/>
      <c r="J8" s="2"/>
    </row>
    <row r="9" customFormat="false" ht="15" hidden="false" customHeight="false" outlineLevel="0" collapsed="false">
      <c r="A9" s="34" t="s">
        <v>120</v>
      </c>
      <c r="B9" s="8" t="s">
        <v>72</v>
      </c>
      <c r="C9" s="35" t="s">
        <v>68</v>
      </c>
      <c r="D9" s="58" t="n">
        <v>8858162.76</v>
      </c>
      <c r="E9" s="51" t="n">
        <v>7</v>
      </c>
      <c r="F9" s="21" t="s">
        <v>57</v>
      </c>
      <c r="G9" s="8" t="s">
        <v>102</v>
      </c>
      <c r="H9" s="60" t="s">
        <v>118</v>
      </c>
      <c r="I9" s="2"/>
      <c r="J9" s="2"/>
    </row>
    <row r="10" customFormat="false" ht="15" hidden="false" customHeight="false" outlineLevel="0" collapsed="false">
      <c r="A10" s="34" t="s">
        <v>121</v>
      </c>
      <c r="B10" s="8" t="s">
        <v>72</v>
      </c>
      <c r="C10" s="35" t="s">
        <v>68</v>
      </c>
      <c r="D10" s="58" t="n">
        <v>8500710.51</v>
      </c>
      <c r="E10" s="51" t="n">
        <v>7</v>
      </c>
      <c r="F10" s="21" t="s">
        <v>57</v>
      </c>
      <c r="G10" s="8" t="s">
        <v>102</v>
      </c>
      <c r="H10" s="60" t="s">
        <v>118</v>
      </c>
      <c r="I10" s="2"/>
      <c r="J10" s="2"/>
    </row>
    <row r="11" customFormat="false" ht="15" hidden="false" customHeight="false" outlineLevel="0" collapsed="false">
      <c r="A11" s="34" t="s">
        <v>122</v>
      </c>
      <c r="B11" s="8" t="s">
        <v>72</v>
      </c>
      <c r="C11" s="35" t="s">
        <v>68</v>
      </c>
      <c r="D11" s="58" t="n">
        <v>1800983.16</v>
      </c>
      <c r="E11" s="53" t="n">
        <v>7</v>
      </c>
      <c r="F11" s="61" t="s">
        <v>58</v>
      </c>
      <c r="G11" s="8" t="s">
        <v>104</v>
      </c>
      <c r="H11" s="60" t="s">
        <v>118</v>
      </c>
      <c r="I11" s="2"/>
      <c r="J11" s="2"/>
    </row>
    <row r="12" customFormat="false" ht="15" hidden="false" customHeight="false" outlineLevel="0" collapsed="false">
      <c r="A12" s="34" t="s">
        <v>123</v>
      </c>
      <c r="B12" s="8" t="s">
        <v>70</v>
      </c>
      <c r="C12" s="35" t="s">
        <v>68</v>
      </c>
      <c r="D12" s="58" t="n">
        <v>64438946.77</v>
      </c>
      <c r="E12" s="49" t="n">
        <v>12</v>
      </c>
      <c r="F12" s="59" t="s">
        <v>56</v>
      </c>
      <c r="G12" s="8" t="s">
        <v>100</v>
      </c>
      <c r="H12" s="60" t="s">
        <v>118</v>
      </c>
      <c r="I12" s="2"/>
      <c r="J12" s="2"/>
    </row>
    <row r="13" customFormat="false" ht="15" hidden="false" customHeight="false" outlineLevel="0" collapsed="false">
      <c r="A13" s="34" t="s">
        <v>124</v>
      </c>
      <c r="B13" s="8" t="s">
        <v>70</v>
      </c>
      <c r="C13" s="35" t="s">
        <v>68</v>
      </c>
      <c r="D13" s="58" t="n">
        <v>34652757.96</v>
      </c>
      <c r="E13" s="49" t="n">
        <v>12</v>
      </c>
      <c r="F13" s="59" t="s">
        <v>56</v>
      </c>
      <c r="G13" s="8" t="s">
        <v>100</v>
      </c>
      <c r="H13" s="60" t="s">
        <v>118</v>
      </c>
      <c r="I13" s="2"/>
      <c r="J13" s="2"/>
    </row>
    <row r="14" customFormat="false" ht="15" hidden="false" customHeight="false" outlineLevel="0" collapsed="false">
      <c r="A14" s="34" t="s">
        <v>125</v>
      </c>
      <c r="B14" s="8" t="s">
        <v>70</v>
      </c>
      <c r="C14" s="35" t="s">
        <v>68</v>
      </c>
      <c r="D14" s="58" t="n">
        <v>12853833.02</v>
      </c>
      <c r="E14" s="49" t="n">
        <v>12</v>
      </c>
      <c r="F14" s="59" t="s">
        <v>56</v>
      </c>
      <c r="G14" s="8" t="s">
        <v>100</v>
      </c>
      <c r="H14" s="60" t="s">
        <v>118</v>
      </c>
      <c r="I14" s="2"/>
      <c r="J14" s="2"/>
    </row>
    <row r="15" customFormat="false" ht="15" hidden="false" customHeight="false" outlineLevel="0" collapsed="false">
      <c r="A15" s="34" t="s">
        <v>126</v>
      </c>
      <c r="B15" s="8" t="s">
        <v>70</v>
      </c>
      <c r="C15" s="35" t="s">
        <v>68</v>
      </c>
      <c r="D15" s="58" t="n">
        <v>12716963.93</v>
      </c>
      <c r="E15" s="51" t="n">
        <v>12</v>
      </c>
      <c r="F15" s="21" t="s">
        <v>57</v>
      </c>
      <c r="G15" s="8" t="s">
        <v>102</v>
      </c>
      <c r="H15" s="60" t="s">
        <v>118</v>
      </c>
      <c r="I15" s="2"/>
      <c r="J15" s="2"/>
    </row>
    <row r="16" customFormat="false" ht="15" hidden="false" customHeight="false" outlineLevel="0" collapsed="false">
      <c r="A16" s="34" t="s">
        <v>127</v>
      </c>
      <c r="B16" s="8" t="s">
        <v>70</v>
      </c>
      <c r="C16" s="35" t="s">
        <v>68</v>
      </c>
      <c r="D16" s="58" t="n">
        <v>7940499.15</v>
      </c>
      <c r="E16" s="51" t="n">
        <v>10</v>
      </c>
      <c r="F16" s="21" t="s">
        <v>57</v>
      </c>
      <c r="G16" s="8" t="s">
        <v>102</v>
      </c>
      <c r="H16" s="60" t="s">
        <v>116</v>
      </c>
      <c r="I16" s="2"/>
      <c r="J16" s="2"/>
    </row>
    <row r="17" customFormat="false" ht="15" hidden="false" customHeight="false" outlineLevel="0" collapsed="false">
      <c r="A17" s="34" t="s">
        <v>128</v>
      </c>
      <c r="B17" s="8" t="s">
        <v>70</v>
      </c>
      <c r="C17" s="35" t="s">
        <v>68</v>
      </c>
      <c r="D17" s="58" t="n">
        <v>6245500.67</v>
      </c>
      <c r="E17" s="51" t="n">
        <v>9</v>
      </c>
      <c r="F17" s="21" t="s">
        <v>57</v>
      </c>
      <c r="G17" s="8" t="s">
        <v>102</v>
      </c>
      <c r="H17" s="60" t="s">
        <v>116</v>
      </c>
      <c r="I17" s="2"/>
      <c r="J17" s="2"/>
    </row>
    <row r="18" customFormat="false" ht="15" hidden="false" customHeight="false" outlineLevel="0" collapsed="false">
      <c r="A18" s="34" t="s">
        <v>129</v>
      </c>
      <c r="B18" s="8" t="s">
        <v>70</v>
      </c>
      <c r="C18" s="35" t="s">
        <v>68</v>
      </c>
      <c r="D18" s="58" t="n">
        <v>2564708.32</v>
      </c>
      <c r="E18" s="53" t="n">
        <v>6</v>
      </c>
      <c r="F18" s="61" t="s">
        <v>58</v>
      </c>
      <c r="G18" s="8" t="s">
        <v>104</v>
      </c>
      <c r="H18" s="60" t="s">
        <v>116</v>
      </c>
      <c r="I18" s="2"/>
      <c r="J18" s="2"/>
    </row>
    <row r="19" customFormat="false" ht="15" hidden="false" customHeight="false" outlineLevel="0" collapsed="false">
      <c r="A19" s="34" t="s">
        <v>130</v>
      </c>
      <c r="B19" s="8" t="s">
        <v>70</v>
      </c>
      <c r="C19" s="35" t="s">
        <v>68</v>
      </c>
      <c r="D19" s="58" t="n">
        <v>1669880.91</v>
      </c>
      <c r="E19" s="53" t="n">
        <v>5</v>
      </c>
      <c r="F19" s="61" t="s">
        <v>58</v>
      </c>
      <c r="G19" s="8" t="s">
        <v>104</v>
      </c>
      <c r="H19" s="60" t="s">
        <v>116</v>
      </c>
      <c r="I19" s="2"/>
      <c r="J19" s="2"/>
    </row>
    <row r="20" customFormat="false" ht="15" hidden="false" customHeight="false" outlineLevel="0" collapsed="false">
      <c r="A20" s="34" t="s">
        <v>131</v>
      </c>
      <c r="B20" s="8" t="s">
        <v>69</v>
      </c>
      <c r="C20" s="35" t="s">
        <v>68</v>
      </c>
      <c r="D20" s="58" t="n">
        <v>101868137.09</v>
      </c>
      <c r="E20" s="46" t="n">
        <v>27</v>
      </c>
      <c r="F20" s="62" t="s">
        <v>55</v>
      </c>
      <c r="G20" s="8" t="s">
        <v>98</v>
      </c>
      <c r="H20" s="60" t="s">
        <v>118</v>
      </c>
      <c r="I20" s="2"/>
      <c r="J20" s="2"/>
    </row>
    <row r="21" customFormat="false" ht="15" hidden="false" customHeight="false" outlineLevel="0" collapsed="false">
      <c r="A21" s="34" t="s">
        <v>132</v>
      </c>
      <c r="B21" s="8" t="s">
        <v>69</v>
      </c>
      <c r="C21" s="35" t="s">
        <v>68</v>
      </c>
      <c r="D21" s="58" t="n">
        <v>47475264.15</v>
      </c>
      <c r="E21" s="49" t="n">
        <v>27</v>
      </c>
      <c r="F21" s="59" t="s">
        <v>56</v>
      </c>
      <c r="G21" s="8" t="s">
        <v>100</v>
      </c>
      <c r="H21" s="60" t="s">
        <v>118</v>
      </c>
      <c r="I21" s="2"/>
      <c r="J21" s="2"/>
    </row>
    <row r="22" customFormat="false" ht="15" hidden="false" customHeight="false" outlineLevel="0" collapsed="false">
      <c r="A22" s="34" t="s">
        <v>133</v>
      </c>
      <c r="B22" s="8" t="s">
        <v>69</v>
      </c>
      <c r="C22" s="35" t="s">
        <v>68</v>
      </c>
      <c r="D22" s="58" t="n">
        <v>24546367.81</v>
      </c>
      <c r="E22" s="49" t="n">
        <v>27</v>
      </c>
      <c r="F22" s="59" t="s">
        <v>56</v>
      </c>
      <c r="G22" s="8" t="s">
        <v>100</v>
      </c>
      <c r="H22" s="60" t="s">
        <v>118</v>
      </c>
      <c r="I22" s="2"/>
      <c r="J22" s="2"/>
    </row>
    <row r="23" customFormat="false" ht="15" hidden="false" customHeight="false" outlineLevel="0" collapsed="false">
      <c r="A23" s="34" t="s">
        <v>134</v>
      </c>
      <c r="B23" s="8" t="s">
        <v>69</v>
      </c>
      <c r="C23" s="35" t="s">
        <v>68</v>
      </c>
      <c r="D23" s="58" t="n">
        <v>11449867.01</v>
      </c>
      <c r="E23" s="51" t="n">
        <v>24</v>
      </c>
      <c r="F23" s="21" t="s">
        <v>57</v>
      </c>
      <c r="G23" s="8" t="s">
        <v>102</v>
      </c>
      <c r="H23" s="60" t="s">
        <v>116</v>
      </c>
      <c r="I23" s="2"/>
      <c r="J23" s="2"/>
    </row>
    <row r="24" customFormat="false" ht="15" hidden="false" customHeight="false" outlineLevel="0" collapsed="false">
      <c r="A24" s="34" t="s">
        <v>135</v>
      </c>
      <c r="B24" s="8" t="s">
        <v>69</v>
      </c>
      <c r="C24" s="35" t="s">
        <v>68</v>
      </c>
      <c r="D24" s="58" t="n">
        <v>8596279.74</v>
      </c>
      <c r="E24" s="51" t="n">
        <v>21</v>
      </c>
      <c r="F24" s="21" t="s">
        <v>57</v>
      </c>
      <c r="G24" s="8" t="s">
        <v>102</v>
      </c>
      <c r="H24" s="60" t="s">
        <v>116</v>
      </c>
      <c r="I24" s="2"/>
      <c r="J24" s="2"/>
    </row>
    <row r="25" customFormat="false" ht="15" hidden="false" customHeight="false" outlineLevel="0" collapsed="false">
      <c r="A25" s="34" t="s">
        <v>136</v>
      </c>
      <c r="B25" s="8" t="s">
        <v>69</v>
      </c>
      <c r="C25" s="35" t="s">
        <v>68</v>
      </c>
      <c r="D25" s="58" t="n">
        <v>7522266.53</v>
      </c>
      <c r="E25" s="51" t="n">
        <v>20</v>
      </c>
      <c r="F25" s="21" t="s">
        <v>57</v>
      </c>
      <c r="G25" s="8" t="s">
        <v>102</v>
      </c>
      <c r="H25" s="60" t="s">
        <v>116</v>
      </c>
      <c r="I25" s="2"/>
      <c r="J25" s="2"/>
    </row>
    <row r="26" customFormat="false" ht="15" hidden="false" customHeight="false" outlineLevel="0" collapsed="false">
      <c r="A26" s="34" t="s">
        <v>137</v>
      </c>
      <c r="B26" s="8" t="s">
        <v>69</v>
      </c>
      <c r="C26" s="35" t="s">
        <v>68</v>
      </c>
      <c r="D26" s="58" t="n">
        <v>7509478.33</v>
      </c>
      <c r="E26" s="51" t="n">
        <v>19</v>
      </c>
      <c r="F26" s="21" t="s">
        <v>57</v>
      </c>
      <c r="G26" s="8" t="s">
        <v>102</v>
      </c>
      <c r="H26" s="60" t="s">
        <v>116</v>
      </c>
      <c r="I26" s="2"/>
      <c r="J26" s="2"/>
    </row>
    <row r="27" customFormat="false" ht="15" hidden="false" customHeight="false" outlineLevel="0" collapsed="false">
      <c r="A27" s="34" t="s">
        <v>138</v>
      </c>
      <c r="B27" s="8" t="s">
        <v>69</v>
      </c>
      <c r="C27" s="35" t="s">
        <v>68</v>
      </c>
      <c r="D27" s="58" t="n">
        <v>5114029.7</v>
      </c>
      <c r="E27" s="51" t="n">
        <v>16</v>
      </c>
      <c r="F27" s="21" t="s">
        <v>57</v>
      </c>
      <c r="G27" s="8" t="s">
        <v>102</v>
      </c>
      <c r="H27" s="60" t="s">
        <v>116</v>
      </c>
      <c r="I27" s="2"/>
      <c r="J27" s="2"/>
    </row>
    <row r="28" customFormat="false" ht="15" hidden="false" customHeight="false" outlineLevel="0" collapsed="false">
      <c r="A28" s="34" t="s">
        <v>139</v>
      </c>
      <c r="B28" s="8" t="s">
        <v>67</v>
      </c>
      <c r="C28" s="35" t="s">
        <v>68</v>
      </c>
      <c r="D28" s="58" t="n">
        <v>11326847708.16</v>
      </c>
      <c r="E28" s="46" t="n">
        <v>110</v>
      </c>
      <c r="F28" s="62" t="s">
        <v>55</v>
      </c>
      <c r="G28" s="8" t="s">
        <v>98</v>
      </c>
      <c r="H28" s="60" t="s">
        <v>118</v>
      </c>
      <c r="I28" s="2"/>
      <c r="J28" s="2"/>
    </row>
    <row r="29" customFormat="false" ht="15" hidden="false" customHeight="false" outlineLevel="0" collapsed="false">
      <c r="A29" s="34" t="s">
        <v>140</v>
      </c>
      <c r="B29" s="8" t="s">
        <v>67</v>
      </c>
      <c r="C29" s="35" t="s">
        <v>68</v>
      </c>
      <c r="D29" s="58" t="n">
        <v>355364203.04</v>
      </c>
      <c r="E29" s="46" t="n">
        <v>92</v>
      </c>
      <c r="F29" s="62" t="s">
        <v>55</v>
      </c>
      <c r="G29" s="8" t="s">
        <v>98</v>
      </c>
      <c r="H29" s="60" t="s">
        <v>116</v>
      </c>
      <c r="I29" s="2"/>
      <c r="J29" s="2"/>
    </row>
    <row r="30" customFormat="false" ht="15" hidden="false" customHeight="false" outlineLevel="0" collapsed="false">
      <c r="A30" s="34" t="s">
        <v>141</v>
      </c>
      <c r="B30" s="8" t="s">
        <v>67</v>
      </c>
      <c r="C30" s="35" t="s">
        <v>68</v>
      </c>
      <c r="D30" s="58" t="n">
        <v>267794847.82</v>
      </c>
      <c r="E30" s="46" t="n">
        <v>80</v>
      </c>
      <c r="F30" s="62" t="s">
        <v>55</v>
      </c>
      <c r="G30" s="8" t="s">
        <v>98</v>
      </c>
      <c r="H30" s="60" t="s">
        <v>116</v>
      </c>
      <c r="I30" s="2"/>
      <c r="J30" s="2"/>
    </row>
    <row r="31" customFormat="false" ht="15" hidden="false" customHeight="false" outlineLevel="0" collapsed="false">
      <c r="A31" s="34" t="s">
        <v>142</v>
      </c>
      <c r="B31" s="8" t="s">
        <v>67</v>
      </c>
      <c r="C31" s="35" t="s">
        <v>68</v>
      </c>
      <c r="D31" s="58" t="n">
        <v>194304391.06</v>
      </c>
      <c r="E31" s="46" t="n">
        <v>68</v>
      </c>
      <c r="F31" s="62" t="s">
        <v>55</v>
      </c>
      <c r="G31" s="8" t="s">
        <v>98</v>
      </c>
      <c r="H31" s="60" t="s">
        <v>116</v>
      </c>
      <c r="I31" s="2"/>
      <c r="J31" s="2"/>
    </row>
    <row r="32" customFormat="false" ht="15" hidden="false" customHeight="false" outlineLevel="0" collapsed="false">
      <c r="A32" s="34" t="s">
        <v>143</v>
      </c>
      <c r="B32" s="8" t="s">
        <v>67</v>
      </c>
      <c r="C32" s="35" t="s">
        <v>68</v>
      </c>
      <c r="D32" s="58" t="n">
        <v>134786921.66</v>
      </c>
      <c r="E32" s="46" t="n">
        <v>56</v>
      </c>
      <c r="F32" s="62" t="s">
        <v>55</v>
      </c>
      <c r="G32" s="8" t="s">
        <v>98</v>
      </c>
      <c r="H32" s="60" t="s">
        <v>116</v>
      </c>
      <c r="I32" s="2"/>
      <c r="J32" s="2"/>
    </row>
    <row r="33" customFormat="false" ht="15" hidden="false" customHeight="false" outlineLevel="0" collapsed="false">
      <c r="A33" s="34" t="s">
        <v>144</v>
      </c>
      <c r="B33" s="8" t="s">
        <v>67</v>
      </c>
      <c r="C33" s="35" t="s">
        <v>68</v>
      </c>
      <c r="D33" s="58" t="n">
        <v>131445988.76</v>
      </c>
      <c r="E33" s="46" t="n">
        <v>56</v>
      </c>
      <c r="F33" s="62" t="s">
        <v>55</v>
      </c>
      <c r="G33" s="8" t="s">
        <v>98</v>
      </c>
      <c r="H33" s="60" t="s">
        <v>116</v>
      </c>
      <c r="I33" s="2"/>
      <c r="J33" s="2"/>
    </row>
    <row r="34" customFormat="false" ht="15" hidden="false" customHeight="false" outlineLevel="0" collapsed="false">
      <c r="A34" s="34" t="s">
        <v>145</v>
      </c>
      <c r="B34" s="8" t="s">
        <v>67</v>
      </c>
      <c r="C34" s="35" t="s">
        <v>68</v>
      </c>
      <c r="D34" s="58" t="n">
        <v>75604718.62</v>
      </c>
      <c r="E34" s="49" t="n">
        <v>42</v>
      </c>
      <c r="F34" s="59" t="s">
        <v>56</v>
      </c>
      <c r="G34" s="8" t="s">
        <v>100</v>
      </c>
      <c r="H34" s="60" t="s">
        <v>116</v>
      </c>
      <c r="I34" s="2"/>
      <c r="J34" s="2"/>
    </row>
    <row r="35" customFormat="false" ht="15" hidden="false" customHeight="false" outlineLevel="0" collapsed="false">
      <c r="A35" s="34" t="s">
        <v>146</v>
      </c>
      <c r="B35" s="8" t="s">
        <v>67</v>
      </c>
      <c r="C35" s="35" t="s">
        <v>68</v>
      </c>
      <c r="D35" s="58" t="n">
        <v>62892136.44</v>
      </c>
      <c r="E35" s="49" t="n">
        <v>39</v>
      </c>
      <c r="F35" s="59" t="s">
        <v>56</v>
      </c>
      <c r="G35" s="8" t="s">
        <v>100</v>
      </c>
      <c r="H35" s="60" t="s">
        <v>116</v>
      </c>
      <c r="I35" s="2"/>
      <c r="J35" s="2"/>
    </row>
    <row r="36" customFormat="false" ht="15" hidden="false" customHeight="false" outlineLevel="0" collapsed="false">
      <c r="A36" s="34" t="s">
        <v>147</v>
      </c>
      <c r="B36" s="8" t="s">
        <v>67</v>
      </c>
      <c r="C36" s="35" t="s">
        <v>68</v>
      </c>
      <c r="D36" s="58" t="n">
        <v>39200941.49</v>
      </c>
      <c r="E36" s="49" t="n">
        <v>30</v>
      </c>
      <c r="F36" s="59" t="s">
        <v>56</v>
      </c>
      <c r="G36" s="8" t="s">
        <v>100</v>
      </c>
      <c r="H36" s="60" t="s">
        <v>116</v>
      </c>
      <c r="I36" s="2"/>
      <c r="J36" s="2"/>
    </row>
    <row r="37" customFormat="false" ht="15" hidden="false" customHeight="false" outlineLevel="0" collapsed="false">
      <c r="A37" s="34" t="s">
        <v>148</v>
      </c>
      <c r="B37" s="8" t="s">
        <v>67</v>
      </c>
      <c r="C37" s="35" t="s">
        <v>68</v>
      </c>
      <c r="D37" s="58" t="n">
        <v>37926263.95</v>
      </c>
      <c r="E37" s="49" t="n">
        <v>30</v>
      </c>
      <c r="F37" s="59" t="s">
        <v>56</v>
      </c>
      <c r="G37" s="8" t="s">
        <v>100</v>
      </c>
      <c r="H37" s="60" t="s">
        <v>116</v>
      </c>
      <c r="I37" s="2"/>
      <c r="J37" s="2"/>
    </row>
    <row r="38" customFormat="false" ht="15" hidden="false" customHeight="false" outlineLevel="0" collapsed="false">
      <c r="A38" s="34" t="s">
        <v>149</v>
      </c>
      <c r="B38" s="8" t="s">
        <v>67</v>
      </c>
      <c r="C38" s="35" t="s">
        <v>68</v>
      </c>
      <c r="D38" s="58" t="n">
        <v>33843153.51</v>
      </c>
      <c r="E38" s="49" t="n">
        <v>28</v>
      </c>
      <c r="F38" s="59" t="s">
        <v>56</v>
      </c>
      <c r="G38" s="8" t="s">
        <v>100</v>
      </c>
      <c r="H38" s="60" t="s">
        <v>116</v>
      </c>
      <c r="I38" s="2"/>
      <c r="J38" s="2"/>
    </row>
    <row r="39" customFormat="false" ht="15" hidden="false" customHeight="false" outlineLevel="0" collapsed="false">
      <c r="A39" s="34" t="s">
        <v>150</v>
      </c>
      <c r="B39" s="8" t="s">
        <v>67</v>
      </c>
      <c r="C39" s="35" t="s">
        <v>68</v>
      </c>
      <c r="D39" s="58" t="n">
        <v>32108451.46</v>
      </c>
      <c r="E39" s="49" t="n">
        <v>28</v>
      </c>
      <c r="F39" s="59" t="s">
        <v>56</v>
      </c>
      <c r="G39" s="8" t="s">
        <v>100</v>
      </c>
      <c r="H39" s="60" t="s">
        <v>116</v>
      </c>
      <c r="I39" s="2"/>
      <c r="J39" s="2"/>
    </row>
    <row r="40" customFormat="false" ht="15" hidden="false" customHeight="false" outlineLevel="0" collapsed="false">
      <c r="A40" s="34" t="s">
        <v>151</v>
      </c>
      <c r="B40" s="8" t="s">
        <v>67</v>
      </c>
      <c r="C40" s="35" t="s">
        <v>68</v>
      </c>
      <c r="D40" s="58" t="n">
        <v>31173283.61</v>
      </c>
      <c r="E40" s="49" t="n">
        <v>27</v>
      </c>
      <c r="F40" s="59" t="s">
        <v>56</v>
      </c>
      <c r="G40" s="8" t="s">
        <v>100</v>
      </c>
      <c r="H40" s="60" t="s">
        <v>116</v>
      </c>
      <c r="I40" s="2"/>
      <c r="J40" s="2"/>
    </row>
    <row r="41" customFormat="false" ht="15" hidden="false" customHeight="false" outlineLevel="0" collapsed="false">
      <c r="A41" s="34" t="s">
        <v>152</v>
      </c>
      <c r="B41" s="8" t="s">
        <v>67</v>
      </c>
      <c r="C41" s="35" t="s">
        <v>68</v>
      </c>
      <c r="D41" s="58" t="n">
        <v>25332482.92</v>
      </c>
      <c r="E41" s="49" t="n">
        <v>24</v>
      </c>
      <c r="F41" s="59" t="s">
        <v>56</v>
      </c>
      <c r="G41" s="8" t="s">
        <v>100</v>
      </c>
      <c r="H41" s="60" t="s">
        <v>116</v>
      </c>
      <c r="I41" s="2"/>
      <c r="J41" s="2"/>
    </row>
    <row r="42" customFormat="false" ht="15" hidden="false" customHeight="false" outlineLevel="0" collapsed="false">
      <c r="A42" s="34" t="s">
        <v>153</v>
      </c>
      <c r="B42" s="8" t="s">
        <v>67</v>
      </c>
      <c r="C42" s="35" t="s">
        <v>68</v>
      </c>
      <c r="D42" s="58" t="n">
        <v>25300768.4</v>
      </c>
      <c r="E42" s="49" t="n">
        <v>24</v>
      </c>
      <c r="F42" s="59" t="s">
        <v>56</v>
      </c>
      <c r="G42" s="8" t="s">
        <v>100</v>
      </c>
      <c r="H42" s="60" t="s">
        <v>116</v>
      </c>
      <c r="I42" s="2"/>
      <c r="J42" s="2"/>
    </row>
    <row r="43" customFormat="false" ht="15" hidden="false" customHeight="false" outlineLevel="0" collapsed="false">
      <c r="A43" s="34" t="s">
        <v>154</v>
      </c>
      <c r="B43" s="8" t="s">
        <v>74</v>
      </c>
      <c r="C43" s="35" t="s">
        <v>68</v>
      </c>
      <c r="D43" s="58" t="n">
        <v>167616516.82</v>
      </c>
      <c r="E43" s="46" t="n">
        <v>6</v>
      </c>
      <c r="F43" s="62" t="s">
        <v>55</v>
      </c>
      <c r="G43" s="8" t="s">
        <v>98</v>
      </c>
      <c r="H43" s="60" t="s">
        <v>116</v>
      </c>
      <c r="I43" s="2"/>
      <c r="J43" s="2"/>
    </row>
    <row r="44" customFormat="false" ht="15" hidden="false" customHeight="false" outlineLevel="0" collapsed="false">
      <c r="A44" s="34" t="s">
        <v>155</v>
      </c>
      <c r="B44" s="8" t="s">
        <v>74</v>
      </c>
      <c r="C44" s="35" t="s">
        <v>68</v>
      </c>
      <c r="D44" s="58" t="n">
        <v>158767288.04</v>
      </c>
      <c r="E44" s="46" t="n">
        <v>5</v>
      </c>
      <c r="F44" s="62" t="s">
        <v>55</v>
      </c>
      <c r="G44" s="8" t="s">
        <v>98</v>
      </c>
      <c r="H44" s="60" t="s">
        <v>118</v>
      </c>
      <c r="I44" s="2"/>
      <c r="J44" s="2"/>
    </row>
    <row r="45" customFormat="false" ht="15" hidden="false" customHeight="false" outlineLevel="0" collapsed="false">
      <c r="A45" s="34" t="s">
        <v>156</v>
      </c>
      <c r="B45" s="8" t="s">
        <v>74</v>
      </c>
      <c r="C45" s="35" t="s">
        <v>68</v>
      </c>
      <c r="D45" s="58" t="n">
        <v>24533732.31</v>
      </c>
      <c r="E45" s="49" t="n">
        <v>5</v>
      </c>
      <c r="F45" s="59" t="s">
        <v>56</v>
      </c>
      <c r="G45" s="8" t="s">
        <v>100</v>
      </c>
      <c r="H45" s="60" t="s">
        <v>118</v>
      </c>
      <c r="I45" s="2"/>
      <c r="J45" s="2"/>
    </row>
    <row r="46" customFormat="false" ht="15" hidden="false" customHeight="false" outlineLevel="0" collapsed="false">
      <c r="A46" s="34" t="s">
        <v>157</v>
      </c>
      <c r="B46" s="8" t="s">
        <v>74</v>
      </c>
      <c r="C46" s="35" t="s">
        <v>68</v>
      </c>
      <c r="D46" s="58" t="n">
        <v>20227056.86</v>
      </c>
      <c r="E46" s="49" t="n">
        <v>4</v>
      </c>
      <c r="F46" s="59" t="s">
        <v>56</v>
      </c>
      <c r="G46" s="8" t="s">
        <v>100</v>
      </c>
      <c r="H46" s="60" t="s">
        <v>116</v>
      </c>
      <c r="I46" s="2"/>
      <c r="J46" s="2"/>
    </row>
    <row r="47" customFormat="false" ht="15" hidden="false" customHeight="false" outlineLevel="0" collapsed="false">
      <c r="A47" s="34" t="s">
        <v>158</v>
      </c>
      <c r="B47" s="8" t="s">
        <v>74</v>
      </c>
      <c r="C47" s="35" t="s">
        <v>68</v>
      </c>
      <c r="D47" s="58" t="n">
        <v>10956466.94</v>
      </c>
      <c r="E47" s="51" t="n">
        <v>3</v>
      </c>
      <c r="F47" s="21" t="s">
        <v>57</v>
      </c>
      <c r="G47" s="8" t="s">
        <v>102</v>
      </c>
      <c r="H47" s="60" t="s">
        <v>116</v>
      </c>
      <c r="I47" s="2"/>
      <c r="J47" s="2"/>
    </row>
    <row r="48" customFormat="false" ht="15" hidden="false" customHeight="false" outlineLevel="0" collapsed="false">
      <c r="A48" s="34" t="s">
        <v>159</v>
      </c>
      <c r="B48" s="8" t="s">
        <v>74</v>
      </c>
      <c r="C48" s="35" t="s">
        <v>68</v>
      </c>
      <c r="D48" s="58" t="n">
        <v>5243128.83</v>
      </c>
      <c r="E48" s="51" t="n">
        <v>2</v>
      </c>
      <c r="F48" s="21" t="s">
        <v>57</v>
      </c>
      <c r="G48" s="8" t="s">
        <v>102</v>
      </c>
      <c r="H48" s="60" t="s">
        <v>116</v>
      </c>
      <c r="I48" s="2"/>
      <c r="J48" s="2"/>
    </row>
    <row r="49" customFormat="false" ht="15" hidden="false" customHeight="false" outlineLevel="0" collapsed="false">
      <c r="A49" s="34" t="s">
        <v>160</v>
      </c>
      <c r="B49" s="8" t="s">
        <v>74</v>
      </c>
      <c r="C49" s="35" t="s">
        <v>68</v>
      </c>
      <c r="D49" s="58" t="n">
        <v>4341737.46</v>
      </c>
      <c r="E49" s="53" t="n">
        <v>2</v>
      </c>
      <c r="F49" s="61" t="s">
        <v>58</v>
      </c>
      <c r="G49" s="8" t="s">
        <v>104</v>
      </c>
      <c r="H49" s="60" t="s">
        <v>116</v>
      </c>
      <c r="I49" s="2"/>
      <c r="J49" s="2"/>
    </row>
    <row r="50" customFormat="false" ht="15" hidden="false" customHeight="false" outlineLevel="0" collapsed="false">
      <c r="A50" s="34" t="s">
        <v>161</v>
      </c>
      <c r="B50" s="8" t="s">
        <v>74</v>
      </c>
      <c r="C50" s="35" t="s">
        <v>68</v>
      </c>
      <c r="D50" s="58" t="n">
        <v>2668080.39</v>
      </c>
      <c r="E50" s="53" t="n">
        <v>2</v>
      </c>
      <c r="F50" s="61" t="s">
        <v>58</v>
      </c>
      <c r="G50" s="8" t="s">
        <v>104</v>
      </c>
      <c r="H50" s="60" t="s">
        <v>116</v>
      </c>
      <c r="I50" s="2"/>
      <c r="J50" s="2"/>
    </row>
    <row r="51" customFormat="false" ht="15" hidden="false" customHeight="false" outlineLevel="0" collapsed="false">
      <c r="A51" s="34" t="s">
        <v>162</v>
      </c>
      <c r="B51" s="8" t="s">
        <v>74</v>
      </c>
      <c r="C51" s="35" t="s">
        <v>68</v>
      </c>
      <c r="D51" s="58" t="n">
        <v>2336859.02</v>
      </c>
      <c r="E51" s="53" t="n">
        <v>2</v>
      </c>
      <c r="F51" s="61" t="s">
        <v>58</v>
      </c>
      <c r="G51" s="8" t="s">
        <v>104</v>
      </c>
      <c r="H51" s="60" t="s">
        <v>116</v>
      </c>
      <c r="I51" s="2"/>
      <c r="J51" s="2"/>
    </row>
    <row r="52" customFormat="false" ht="15" hidden="false" customHeight="false" outlineLevel="0" collapsed="false">
      <c r="A52" s="34" t="s">
        <v>163</v>
      </c>
      <c r="B52" s="8" t="s">
        <v>74</v>
      </c>
      <c r="C52" s="35" t="s">
        <v>68</v>
      </c>
      <c r="D52" s="58" t="n">
        <v>2145776.01</v>
      </c>
      <c r="E52" s="53" t="n">
        <v>1</v>
      </c>
      <c r="F52" s="61" t="s">
        <v>58</v>
      </c>
      <c r="G52" s="8" t="s">
        <v>104</v>
      </c>
      <c r="H52" s="60" t="s">
        <v>116</v>
      </c>
      <c r="I52" s="2"/>
      <c r="J52" s="2"/>
    </row>
    <row r="53" customFormat="false" ht="15" hidden="false" customHeight="false" outlineLevel="0" collapsed="false">
      <c r="A53" s="34" t="s">
        <v>164</v>
      </c>
      <c r="B53" s="8" t="s">
        <v>74</v>
      </c>
      <c r="C53" s="35" t="s">
        <v>68</v>
      </c>
      <c r="D53" s="58" t="n">
        <v>2003587.31</v>
      </c>
      <c r="E53" s="53" t="n">
        <v>1</v>
      </c>
      <c r="F53" s="61" t="s">
        <v>58</v>
      </c>
      <c r="G53" s="8" t="s">
        <v>104</v>
      </c>
      <c r="H53" s="60" t="s">
        <v>116</v>
      </c>
      <c r="I53" s="2"/>
      <c r="J53" s="2"/>
    </row>
    <row r="54" customFormat="false" ht="15" hidden="false" customHeight="false" outlineLevel="0" collapsed="false">
      <c r="A54" s="34" t="s">
        <v>165</v>
      </c>
      <c r="B54" s="8" t="s">
        <v>74</v>
      </c>
      <c r="C54" s="35" t="s">
        <v>68</v>
      </c>
      <c r="D54" s="58" t="n">
        <v>1359197.64</v>
      </c>
      <c r="E54" s="53" t="n">
        <v>1</v>
      </c>
      <c r="F54" s="61" t="s">
        <v>58</v>
      </c>
      <c r="G54" s="8" t="s">
        <v>104</v>
      </c>
      <c r="H54" s="60" t="s">
        <v>116</v>
      </c>
      <c r="I54" s="2"/>
      <c r="J54" s="2"/>
    </row>
    <row r="55" customFormat="false" ht="15" hidden="false" customHeight="false" outlineLevel="0" collapsed="false">
      <c r="A55" s="34" t="s">
        <v>166</v>
      </c>
      <c r="B55" s="8" t="s">
        <v>74</v>
      </c>
      <c r="C55" s="35" t="s">
        <v>68</v>
      </c>
      <c r="D55" s="58" t="n">
        <v>1237896.21</v>
      </c>
      <c r="E55" s="53" t="n">
        <v>1</v>
      </c>
      <c r="F55" s="61" t="s">
        <v>58</v>
      </c>
      <c r="G55" s="8" t="s">
        <v>104</v>
      </c>
      <c r="H55" s="60" t="s">
        <v>116</v>
      </c>
      <c r="I55" s="2"/>
      <c r="J55" s="2"/>
    </row>
    <row r="56" customFormat="false" ht="15" hidden="false" customHeight="false" outlineLevel="0" collapsed="false">
      <c r="A56" s="34" t="s">
        <v>167</v>
      </c>
      <c r="B56" s="8" t="s">
        <v>71</v>
      </c>
      <c r="C56" s="35" t="s">
        <v>68</v>
      </c>
      <c r="D56" s="58" t="n">
        <v>184615999</v>
      </c>
      <c r="E56" s="46" t="n">
        <v>17</v>
      </c>
      <c r="F56" s="62" t="s">
        <v>55</v>
      </c>
      <c r="G56" s="8" t="s">
        <v>98</v>
      </c>
      <c r="H56" s="60" t="s">
        <v>116</v>
      </c>
      <c r="I56" s="2"/>
      <c r="J56" s="2"/>
    </row>
    <row r="57" customFormat="false" ht="15" hidden="false" customHeight="false" outlineLevel="0" collapsed="false">
      <c r="A57" s="34" t="s">
        <v>168</v>
      </c>
      <c r="B57" s="8" t="s">
        <v>71</v>
      </c>
      <c r="C57" s="35" t="s">
        <v>68</v>
      </c>
      <c r="D57" s="58" t="n">
        <v>11889593</v>
      </c>
      <c r="E57" s="51" t="n">
        <v>7</v>
      </c>
      <c r="F57" s="21" t="s">
        <v>57</v>
      </c>
      <c r="G57" s="8" t="s">
        <v>102</v>
      </c>
      <c r="H57" s="60" t="s">
        <v>118</v>
      </c>
      <c r="I57" s="2"/>
      <c r="J57" s="2"/>
    </row>
    <row r="58" customFormat="false" ht="15" hidden="false" customHeight="false" outlineLevel="0" collapsed="false">
      <c r="A58" s="34" t="s">
        <v>169</v>
      </c>
      <c r="B58" s="8" t="s">
        <v>71</v>
      </c>
      <c r="C58" s="35" t="s">
        <v>68</v>
      </c>
      <c r="D58" s="58" t="n">
        <v>6729359</v>
      </c>
      <c r="E58" s="51" t="n">
        <v>7</v>
      </c>
      <c r="F58" s="21" t="s">
        <v>57</v>
      </c>
      <c r="G58" s="8" t="s">
        <v>102</v>
      </c>
      <c r="H58" s="60" t="s">
        <v>118</v>
      </c>
      <c r="I58" s="2"/>
      <c r="J58" s="2"/>
    </row>
    <row r="59" customFormat="false" ht="15" hidden="false" customHeight="false" outlineLevel="0" collapsed="false">
      <c r="A59" s="34" t="s">
        <v>170</v>
      </c>
      <c r="B59" s="8" t="s">
        <v>71</v>
      </c>
      <c r="C59" s="35" t="s">
        <v>68</v>
      </c>
      <c r="D59" s="58" t="n">
        <v>5044325</v>
      </c>
      <c r="E59" s="51" t="n">
        <v>7</v>
      </c>
      <c r="F59" s="21" t="s">
        <v>57</v>
      </c>
      <c r="G59" s="8" t="s">
        <v>102</v>
      </c>
      <c r="H59" s="60" t="s">
        <v>118</v>
      </c>
      <c r="I59" s="2"/>
      <c r="J59" s="2"/>
    </row>
    <row r="60" customFormat="false" ht="15" hidden="false" customHeight="false" outlineLevel="0" collapsed="false">
      <c r="A60" s="34" t="s">
        <v>171</v>
      </c>
      <c r="B60" s="8" t="s">
        <v>71</v>
      </c>
      <c r="C60" s="35" t="s">
        <v>68</v>
      </c>
      <c r="D60" s="58" t="n">
        <v>4178357</v>
      </c>
      <c r="E60" s="53" t="n">
        <v>7</v>
      </c>
      <c r="F60" s="61" t="s">
        <v>58</v>
      </c>
      <c r="G60" s="8" t="s">
        <v>104</v>
      </c>
      <c r="H60" s="60" t="s">
        <v>118</v>
      </c>
      <c r="I60" s="2"/>
      <c r="J60" s="2"/>
    </row>
    <row r="61" customFormat="false" ht="15" hidden="false" customHeight="false" outlineLevel="0" collapsed="false">
      <c r="A61" s="34" t="s">
        <v>172</v>
      </c>
      <c r="B61" s="8" t="s">
        <v>73</v>
      </c>
      <c r="C61" s="35" t="s">
        <v>68</v>
      </c>
      <c r="D61" s="58" t="n">
        <v>27623692.22</v>
      </c>
      <c r="E61" s="49" t="n">
        <v>7</v>
      </c>
      <c r="F61" s="59" t="s">
        <v>56</v>
      </c>
      <c r="G61" s="8" t="s">
        <v>100</v>
      </c>
      <c r="H61" s="60" t="s">
        <v>116</v>
      </c>
      <c r="I61" s="2"/>
      <c r="J61" s="2"/>
    </row>
    <row r="62" customFormat="false" ht="15" hidden="false" customHeight="false" outlineLevel="0" collapsed="false">
      <c r="A62" s="34" t="s">
        <v>173</v>
      </c>
      <c r="B62" s="8" t="s">
        <v>73</v>
      </c>
      <c r="C62" s="35" t="s">
        <v>68</v>
      </c>
      <c r="D62" s="58" t="n">
        <v>25669753.61</v>
      </c>
      <c r="E62" s="49" t="n">
        <v>6</v>
      </c>
      <c r="F62" s="59" t="s">
        <v>56</v>
      </c>
      <c r="G62" s="8" t="s">
        <v>100</v>
      </c>
      <c r="H62" s="60" t="s">
        <v>118</v>
      </c>
      <c r="I62" s="2"/>
      <c r="J62" s="2"/>
    </row>
    <row r="63" customFormat="false" ht="15" hidden="false" customHeight="false" outlineLevel="0" collapsed="false">
      <c r="A63" s="34" t="s">
        <v>174</v>
      </c>
      <c r="B63" s="8" t="s">
        <v>73</v>
      </c>
      <c r="C63" s="35" t="s">
        <v>68</v>
      </c>
      <c r="D63" s="58" t="n">
        <v>22360388.86</v>
      </c>
      <c r="E63" s="49" t="n">
        <v>6</v>
      </c>
      <c r="F63" s="59" t="s">
        <v>56</v>
      </c>
      <c r="G63" s="8" t="s">
        <v>100</v>
      </c>
      <c r="H63" s="60" t="s">
        <v>118</v>
      </c>
      <c r="I63" s="2"/>
      <c r="J63" s="2"/>
    </row>
    <row r="64" customFormat="false" ht="15" hidden="false" customHeight="false" outlineLevel="0" collapsed="false">
      <c r="A64" s="34" t="s">
        <v>175</v>
      </c>
      <c r="B64" s="8" t="s">
        <v>73</v>
      </c>
      <c r="C64" s="35" t="s">
        <v>68</v>
      </c>
      <c r="D64" s="58" t="n">
        <v>10139040.15</v>
      </c>
      <c r="E64" s="51" t="n">
        <v>4</v>
      </c>
      <c r="F64" s="21" t="s">
        <v>57</v>
      </c>
      <c r="G64" s="8" t="s">
        <v>102</v>
      </c>
      <c r="H64" s="60" t="s">
        <v>116</v>
      </c>
      <c r="I64" s="2"/>
      <c r="J64" s="2"/>
    </row>
    <row r="65" customFormat="false" ht="15" hidden="false" customHeight="false" outlineLevel="0" collapsed="false">
      <c r="A65" s="34" t="s">
        <v>176</v>
      </c>
      <c r="B65" s="8" t="s">
        <v>73</v>
      </c>
      <c r="C65" s="35" t="s">
        <v>68</v>
      </c>
      <c r="D65" s="58" t="n">
        <v>9058478.41</v>
      </c>
      <c r="E65" s="51" t="n">
        <v>4</v>
      </c>
      <c r="F65" s="21" t="s">
        <v>57</v>
      </c>
      <c r="G65" s="8" t="s">
        <v>102</v>
      </c>
      <c r="H65" s="60" t="s">
        <v>116</v>
      </c>
      <c r="I65" s="2"/>
      <c r="J65" s="2"/>
    </row>
    <row r="66" customFormat="false" ht="15" hidden="false" customHeight="false" outlineLevel="0" collapsed="false">
      <c r="A66" s="34" t="s">
        <v>177</v>
      </c>
      <c r="B66" s="8" t="s">
        <v>73</v>
      </c>
      <c r="C66" s="35" t="s">
        <v>68</v>
      </c>
      <c r="D66" s="58" t="n">
        <v>7980134.93</v>
      </c>
      <c r="E66" s="51" t="n">
        <v>4</v>
      </c>
      <c r="F66" s="21" t="s">
        <v>57</v>
      </c>
      <c r="G66" s="8" t="s">
        <v>102</v>
      </c>
      <c r="H66" s="60" t="s">
        <v>116</v>
      </c>
      <c r="I66" s="2"/>
      <c r="J66" s="2"/>
    </row>
    <row r="67" customFormat="false" ht="15" hidden="false" customHeight="false" outlineLevel="0" collapsed="false">
      <c r="A67" s="34" t="s">
        <v>178</v>
      </c>
      <c r="B67" s="8" t="s">
        <v>73</v>
      </c>
      <c r="C67" s="35" t="s">
        <v>68</v>
      </c>
      <c r="D67" s="58" t="n">
        <v>7282494.81</v>
      </c>
      <c r="E67" s="51" t="n">
        <v>3</v>
      </c>
      <c r="F67" s="21" t="s">
        <v>57</v>
      </c>
      <c r="G67" s="8" t="s">
        <v>102</v>
      </c>
      <c r="H67" s="60" t="s">
        <v>116</v>
      </c>
      <c r="I67" s="2"/>
      <c r="J67" s="2"/>
    </row>
    <row r="68" customFormat="false" ht="15" hidden="false" customHeight="false" outlineLevel="0" collapsed="false">
      <c r="A68" s="34" t="s">
        <v>179</v>
      </c>
      <c r="B68" s="8" t="s">
        <v>73</v>
      </c>
      <c r="C68" s="35" t="s">
        <v>68</v>
      </c>
      <c r="D68" s="58" t="n">
        <v>3839806.91</v>
      </c>
      <c r="E68" s="53" t="n">
        <v>2</v>
      </c>
      <c r="F68" s="61" t="s">
        <v>58</v>
      </c>
      <c r="G68" s="8" t="s">
        <v>104</v>
      </c>
      <c r="H68" s="60" t="s">
        <v>116</v>
      </c>
      <c r="I68" s="2"/>
      <c r="J68" s="2"/>
    </row>
    <row r="69" customFormat="false" ht="15" hidden="false" customHeight="false" outlineLevel="0" collapsed="false">
      <c r="A69" s="34" t="s">
        <v>180</v>
      </c>
      <c r="B69" s="8" t="s">
        <v>73</v>
      </c>
      <c r="C69" s="35" t="s">
        <v>68</v>
      </c>
      <c r="D69" s="58" t="n">
        <v>3215467.75</v>
      </c>
      <c r="E69" s="53" t="n">
        <v>2</v>
      </c>
      <c r="F69" s="61" t="s">
        <v>58</v>
      </c>
      <c r="G69" s="8" t="s">
        <v>104</v>
      </c>
      <c r="H69" s="60" t="s">
        <v>116</v>
      </c>
      <c r="I69" s="2"/>
      <c r="J69" s="2"/>
    </row>
    <row r="70" customFormat="false" ht="15" hidden="false" customHeight="false" outlineLevel="0" collapsed="false">
      <c r="A70" s="34" t="s">
        <v>181</v>
      </c>
      <c r="B70" s="8" t="s">
        <v>73</v>
      </c>
      <c r="C70" s="35" t="s">
        <v>68</v>
      </c>
      <c r="D70" s="58" t="n">
        <v>2726477.13</v>
      </c>
      <c r="E70" s="53" t="n">
        <v>2</v>
      </c>
      <c r="F70" s="61" t="s">
        <v>58</v>
      </c>
      <c r="G70" s="8" t="s">
        <v>104</v>
      </c>
      <c r="H70" s="60" t="s">
        <v>116</v>
      </c>
      <c r="I70" s="2"/>
      <c r="J70" s="2"/>
    </row>
    <row r="71" customFormat="false" ht="15" hidden="false" customHeight="false" outlineLevel="0" collapsed="false">
      <c r="A71" s="34" t="s">
        <v>182</v>
      </c>
      <c r="B71" s="8" t="s">
        <v>73</v>
      </c>
      <c r="C71" s="35" t="s">
        <v>68</v>
      </c>
      <c r="D71" s="58" t="n">
        <v>1237568.02</v>
      </c>
      <c r="E71" s="53" t="n">
        <v>1</v>
      </c>
      <c r="F71" s="61" t="s">
        <v>58</v>
      </c>
      <c r="G71" s="8" t="s">
        <v>104</v>
      </c>
      <c r="H71" s="60" t="s">
        <v>116</v>
      </c>
      <c r="I71" s="2"/>
      <c r="J71" s="2"/>
    </row>
    <row r="72" customFormat="false" ht="15" hidden="false" customHeight="false" outlineLevel="0" collapsed="false">
      <c r="A72" s="34" t="s">
        <v>183</v>
      </c>
      <c r="B72" s="8" t="s">
        <v>78</v>
      </c>
      <c r="C72" s="42" t="s">
        <v>76</v>
      </c>
      <c r="D72" s="58" t="n">
        <v>642366873.88</v>
      </c>
      <c r="E72" s="46" t="n">
        <v>8</v>
      </c>
      <c r="F72" s="62" t="s">
        <v>55</v>
      </c>
      <c r="G72" s="8" t="s">
        <v>98</v>
      </c>
      <c r="H72" s="60" t="s">
        <v>118</v>
      </c>
      <c r="I72" s="2"/>
      <c r="J72" s="2"/>
    </row>
    <row r="73" customFormat="false" ht="15" hidden="false" customHeight="false" outlineLevel="0" collapsed="false">
      <c r="A73" s="34" t="s">
        <v>184</v>
      </c>
      <c r="B73" s="8" t="s">
        <v>78</v>
      </c>
      <c r="C73" s="42" t="s">
        <v>76</v>
      </c>
      <c r="D73" s="58" t="n">
        <v>17393976.8</v>
      </c>
      <c r="E73" s="49" t="n">
        <v>8</v>
      </c>
      <c r="F73" s="59" t="s">
        <v>56</v>
      </c>
      <c r="G73" s="8" t="s">
        <v>100</v>
      </c>
      <c r="H73" s="60" t="s">
        <v>118</v>
      </c>
      <c r="I73" s="2"/>
      <c r="J73" s="2"/>
    </row>
    <row r="74" customFormat="false" ht="15" hidden="false" customHeight="false" outlineLevel="0" collapsed="false">
      <c r="A74" s="34" t="s">
        <v>185</v>
      </c>
      <c r="B74" s="8" t="s">
        <v>78</v>
      </c>
      <c r="C74" s="42" t="s">
        <v>76</v>
      </c>
      <c r="D74" s="58" t="n">
        <v>10781711.62</v>
      </c>
      <c r="E74" s="51" t="n">
        <v>7</v>
      </c>
      <c r="F74" s="21" t="s">
        <v>57</v>
      </c>
      <c r="G74" s="8" t="s">
        <v>102</v>
      </c>
      <c r="H74" s="60" t="s">
        <v>116</v>
      </c>
      <c r="I74" s="2"/>
      <c r="J74" s="2"/>
    </row>
    <row r="75" customFormat="false" ht="15" hidden="false" customHeight="false" outlineLevel="0" collapsed="false">
      <c r="A75" s="34" t="s">
        <v>186</v>
      </c>
      <c r="B75" s="8" t="s">
        <v>78</v>
      </c>
      <c r="C75" s="42" t="s">
        <v>76</v>
      </c>
      <c r="D75" s="58" t="n">
        <v>10365209.49</v>
      </c>
      <c r="E75" s="51" t="n">
        <v>7</v>
      </c>
      <c r="F75" s="21" t="s">
        <v>57</v>
      </c>
      <c r="G75" s="8" t="s">
        <v>102</v>
      </c>
      <c r="H75" s="60" t="s">
        <v>116</v>
      </c>
      <c r="I75" s="2"/>
      <c r="J75" s="2"/>
    </row>
    <row r="76" customFormat="false" ht="15" hidden="false" customHeight="false" outlineLevel="0" collapsed="false">
      <c r="A76" s="34" t="s">
        <v>187</v>
      </c>
      <c r="B76" s="8" t="s">
        <v>78</v>
      </c>
      <c r="C76" s="42" t="s">
        <v>76</v>
      </c>
      <c r="D76" s="58" t="n">
        <v>8605609.72</v>
      </c>
      <c r="E76" s="51" t="n">
        <v>6</v>
      </c>
      <c r="F76" s="21" t="s">
        <v>57</v>
      </c>
      <c r="G76" s="8" t="s">
        <v>102</v>
      </c>
      <c r="H76" s="60" t="s">
        <v>116</v>
      </c>
      <c r="I76" s="2"/>
      <c r="J76" s="2"/>
    </row>
    <row r="77" customFormat="false" ht="15" hidden="false" customHeight="false" outlineLevel="0" collapsed="false">
      <c r="A77" s="34" t="s">
        <v>188</v>
      </c>
      <c r="B77" s="8" t="s">
        <v>78</v>
      </c>
      <c r="C77" s="42" t="s">
        <v>76</v>
      </c>
      <c r="D77" s="58" t="n">
        <v>4409832.68</v>
      </c>
      <c r="E77" s="53" t="n">
        <v>4</v>
      </c>
      <c r="F77" s="61" t="s">
        <v>58</v>
      </c>
      <c r="G77" s="8" t="s">
        <v>104</v>
      </c>
      <c r="H77" s="60" t="s">
        <v>116</v>
      </c>
      <c r="I77" s="2"/>
      <c r="J77" s="2"/>
    </row>
    <row r="78" customFormat="false" ht="15" hidden="false" customHeight="false" outlineLevel="0" collapsed="false">
      <c r="A78" s="34" t="s">
        <v>189</v>
      </c>
      <c r="B78" s="8" t="s">
        <v>78</v>
      </c>
      <c r="C78" s="42" t="s">
        <v>76</v>
      </c>
      <c r="D78" s="58" t="n">
        <v>4353151.41</v>
      </c>
      <c r="E78" s="53" t="n">
        <v>4</v>
      </c>
      <c r="F78" s="61" t="s">
        <v>58</v>
      </c>
      <c r="G78" s="8" t="s">
        <v>104</v>
      </c>
      <c r="H78" s="60" t="s">
        <v>116</v>
      </c>
      <c r="I78" s="2"/>
      <c r="J78" s="2"/>
    </row>
    <row r="79" customFormat="false" ht="15" hidden="false" customHeight="false" outlineLevel="0" collapsed="false">
      <c r="A79" s="34" t="s">
        <v>190</v>
      </c>
      <c r="B79" s="8" t="s">
        <v>78</v>
      </c>
      <c r="C79" s="42" t="s">
        <v>76</v>
      </c>
      <c r="D79" s="58" t="n">
        <v>3523333.24</v>
      </c>
      <c r="E79" s="53" t="n">
        <v>4</v>
      </c>
      <c r="F79" s="61" t="s">
        <v>58</v>
      </c>
      <c r="G79" s="8" t="s">
        <v>104</v>
      </c>
      <c r="H79" s="60" t="s">
        <v>116</v>
      </c>
      <c r="I79" s="2"/>
      <c r="J79" s="2"/>
    </row>
    <row r="80" customFormat="false" ht="15" hidden="false" customHeight="false" outlineLevel="0" collapsed="false">
      <c r="A80" s="34" t="s">
        <v>191</v>
      </c>
      <c r="B80" s="8" t="s">
        <v>78</v>
      </c>
      <c r="C80" s="42" t="s">
        <v>76</v>
      </c>
      <c r="D80" s="58" t="n">
        <v>2711087.93</v>
      </c>
      <c r="E80" s="53" t="n">
        <v>3</v>
      </c>
      <c r="F80" s="61" t="s">
        <v>58</v>
      </c>
      <c r="G80" s="8" t="s">
        <v>104</v>
      </c>
      <c r="H80" s="60" t="s">
        <v>116</v>
      </c>
      <c r="I80" s="2"/>
      <c r="J80" s="2"/>
    </row>
    <row r="81" customFormat="false" ht="15" hidden="false" customHeight="false" outlineLevel="0" collapsed="false">
      <c r="A81" s="34" t="s">
        <v>192</v>
      </c>
      <c r="B81" s="8" t="s">
        <v>78</v>
      </c>
      <c r="C81" s="42" t="s">
        <v>76</v>
      </c>
      <c r="D81" s="58" t="n">
        <v>2101108.77</v>
      </c>
      <c r="E81" s="53" t="n">
        <v>3</v>
      </c>
      <c r="F81" s="61" t="s">
        <v>58</v>
      </c>
      <c r="G81" s="8" t="s">
        <v>104</v>
      </c>
      <c r="H81" s="60" t="s">
        <v>116</v>
      </c>
      <c r="I81" s="2"/>
      <c r="J81" s="2"/>
    </row>
    <row r="82" customFormat="false" ht="15" hidden="false" customHeight="false" outlineLevel="0" collapsed="false">
      <c r="A82" s="34" t="s">
        <v>193</v>
      </c>
      <c r="B82" s="8" t="s">
        <v>78</v>
      </c>
      <c r="C82" s="42" t="s">
        <v>76</v>
      </c>
      <c r="D82" s="58" t="n">
        <v>1251547.64</v>
      </c>
      <c r="E82" s="53" t="n">
        <v>2</v>
      </c>
      <c r="F82" s="61" t="s">
        <v>58</v>
      </c>
      <c r="G82" s="8" t="s">
        <v>104</v>
      </c>
      <c r="H82" s="60" t="s">
        <v>116</v>
      </c>
      <c r="I82" s="2"/>
      <c r="J82" s="2"/>
    </row>
    <row r="83" customFormat="false" ht="15" hidden="false" customHeight="false" outlineLevel="0" collapsed="false">
      <c r="A83" s="34" t="s">
        <v>194</v>
      </c>
      <c r="B83" s="8" t="s">
        <v>79</v>
      </c>
      <c r="C83" s="42" t="s">
        <v>76</v>
      </c>
      <c r="D83" s="58" t="n">
        <v>361992976.9</v>
      </c>
      <c r="E83" s="46" t="n">
        <v>5</v>
      </c>
      <c r="F83" s="62" t="s">
        <v>55</v>
      </c>
      <c r="G83" s="8" t="s">
        <v>98</v>
      </c>
      <c r="H83" s="60" t="s">
        <v>116</v>
      </c>
      <c r="I83" s="2"/>
      <c r="J83" s="2"/>
    </row>
    <row r="84" customFormat="false" ht="15" hidden="false" customHeight="false" outlineLevel="0" collapsed="false">
      <c r="A84" s="34" t="s">
        <v>195</v>
      </c>
      <c r="B84" s="8" t="s">
        <v>79</v>
      </c>
      <c r="C84" s="42" t="s">
        <v>76</v>
      </c>
      <c r="D84" s="58" t="n">
        <v>250590906.4</v>
      </c>
      <c r="E84" s="46" t="n">
        <v>4</v>
      </c>
      <c r="F84" s="62" t="s">
        <v>55</v>
      </c>
      <c r="G84" s="8" t="s">
        <v>98</v>
      </c>
      <c r="H84" s="60" t="s">
        <v>118</v>
      </c>
      <c r="I84" s="2"/>
      <c r="J84" s="2"/>
    </row>
    <row r="85" customFormat="false" ht="15" hidden="false" customHeight="false" outlineLevel="0" collapsed="false">
      <c r="A85" s="34" t="s">
        <v>196</v>
      </c>
      <c r="B85" s="8" t="s">
        <v>79</v>
      </c>
      <c r="C85" s="42" t="s">
        <v>76</v>
      </c>
      <c r="D85" s="58" t="n">
        <v>121017441.01</v>
      </c>
      <c r="E85" s="46" t="n">
        <v>4</v>
      </c>
      <c r="F85" s="62" t="s">
        <v>55</v>
      </c>
      <c r="G85" s="8" t="s">
        <v>98</v>
      </c>
      <c r="H85" s="60" t="s">
        <v>118</v>
      </c>
      <c r="I85" s="2"/>
      <c r="J85" s="2"/>
    </row>
    <row r="86" customFormat="false" ht="15" hidden="false" customHeight="false" outlineLevel="0" collapsed="false">
      <c r="A86" s="34" t="s">
        <v>197</v>
      </c>
      <c r="B86" s="8" t="s">
        <v>79</v>
      </c>
      <c r="C86" s="42" t="s">
        <v>76</v>
      </c>
      <c r="D86" s="58" t="n">
        <v>82685669.14</v>
      </c>
      <c r="E86" s="49" t="n">
        <v>4</v>
      </c>
      <c r="F86" s="59" t="s">
        <v>56</v>
      </c>
      <c r="G86" s="8" t="s">
        <v>100</v>
      </c>
      <c r="H86" s="60" t="s">
        <v>118</v>
      </c>
      <c r="I86" s="2"/>
      <c r="J86" s="2"/>
    </row>
    <row r="87" customFormat="false" ht="15" hidden="false" customHeight="false" outlineLevel="0" collapsed="false">
      <c r="A87" s="34" t="s">
        <v>198</v>
      </c>
      <c r="B87" s="8" t="s">
        <v>79</v>
      </c>
      <c r="C87" s="42" t="s">
        <v>76</v>
      </c>
      <c r="D87" s="58" t="n">
        <v>7752870.46</v>
      </c>
      <c r="E87" s="51" t="n">
        <v>2</v>
      </c>
      <c r="F87" s="21" t="s">
        <v>57</v>
      </c>
      <c r="G87" s="8" t="s">
        <v>102</v>
      </c>
      <c r="H87" s="60" t="s">
        <v>116</v>
      </c>
      <c r="I87" s="2"/>
      <c r="J87" s="2"/>
    </row>
    <row r="88" customFormat="false" ht="15" hidden="false" customHeight="false" outlineLevel="0" collapsed="false">
      <c r="A88" s="34" t="s">
        <v>199</v>
      </c>
      <c r="B88" s="8" t="s">
        <v>79</v>
      </c>
      <c r="C88" s="42" t="s">
        <v>76</v>
      </c>
      <c r="D88" s="58" t="n">
        <v>7498456.66</v>
      </c>
      <c r="E88" s="51" t="n">
        <v>2</v>
      </c>
      <c r="F88" s="21" t="s">
        <v>57</v>
      </c>
      <c r="G88" s="8" t="s">
        <v>102</v>
      </c>
      <c r="H88" s="60" t="s">
        <v>116</v>
      </c>
      <c r="I88" s="2"/>
      <c r="J88" s="2"/>
    </row>
    <row r="89" customFormat="false" ht="15" hidden="false" customHeight="false" outlineLevel="0" collapsed="false">
      <c r="A89" s="34" t="s">
        <v>200</v>
      </c>
      <c r="B89" s="8" t="s">
        <v>79</v>
      </c>
      <c r="C89" s="42" t="s">
        <v>76</v>
      </c>
      <c r="D89" s="58" t="n">
        <v>5037981.93</v>
      </c>
      <c r="E89" s="51" t="n">
        <v>1</v>
      </c>
      <c r="F89" s="21" t="s">
        <v>57</v>
      </c>
      <c r="G89" s="8" t="s">
        <v>102</v>
      </c>
      <c r="H89" s="60" t="s">
        <v>116</v>
      </c>
      <c r="I89" s="2"/>
      <c r="J89" s="2"/>
    </row>
    <row r="90" customFormat="false" ht="15" hidden="false" customHeight="false" outlineLevel="0" collapsed="false">
      <c r="A90" s="34" t="s">
        <v>201</v>
      </c>
      <c r="B90" s="8" t="s">
        <v>79</v>
      </c>
      <c r="C90" s="42" t="s">
        <v>76</v>
      </c>
      <c r="D90" s="58" t="n">
        <v>4696769.36</v>
      </c>
      <c r="E90" s="53" t="n">
        <v>1</v>
      </c>
      <c r="F90" s="61" t="s">
        <v>58</v>
      </c>
      <c r="G90" s="8" t="s">
        <v>104</v>
      </c>
      <c r="H90" s="60" t="s">
        <v>116</v>
      </c>
      <c r="I90" s="2"/>
      <c r="J90" s="2"/>
    </row>
    <row r="91" customFormat="false" ht="15" hidden="false" customHeight="false" outlineLevel="0" collapsed="false">
      <c r="A91" s="34" t="s">
        <v>202</v>
      </c>
      <c r="B91" s="8" t="s">
        <v>79</v>
      </c>
      <c r="C91" s="42" t="s">
        <v>76</v>
      </c>
      <c r="D91" s="58" t="n">
        <v>4404896.88</v>
      </c>
      <c r="E91" s="53" t="n">
        <v>1</v>
      </c>
      <c r="F91" s="61" t="s">
        <v>58</v>
      </c>
      <c r="G91" s="8" t="s">
        <v>104</v>
      </c>
      <c r="H91" s="60" t="s">
        <v>116</v>
      </c>
      <c r="I91" s="2"/>
      <c r="J91" s="2"/>
    </row>
    <row r="92" customFormat="false" ht="15" hidden="false" customHeight="false" outlineLevel="0" collapsed="false">
      <c r="A92" s="34" t="s">
        <v>203</v>
      </c>
      <c r="B92" s="8" t="s">
        <v>79</v>
      </c>
      <c r="C92" s="42" t="s">
        <v>76</v>
      </c>
      <c r="D92" s="58" t="n">
        <v>3419365.76</v>
      </c>
      <c r="E92" s="53" t="n">
        <v>1</v>
      </c>
      <c r="F92" s="61" t="s">
        <v>58</v>
      </c>
      <c r="G92" s="8" t="s">
        <v>104</v>
      </c>
      <c r="H92" s="60" t="s">
        <v>116</v>
      </c>
      <c r="I92" s="2"/>
      <c r="J92" s="2"/>
    </row>
    <row r="93" customFormat="false" ht="15" hidden="false" customHeight="false" outlineLevel="0" collapsed="false">
      <c r="A93" s="34" t="s">
        <v>204</v>
      </c>
      <c r="B93" s="8" t="s">
        <v>79</v>
      </c>
      <c r="C93" s="42" t="s">
        <v>76</v>
      </c>
      <c r="D93" s="58" t="n">
        <v>2278196.57</v>
      </c>
      <c r="E93" s="53" t="n">
        <v>1</v>
      </c>
      <c r="F93" s="61" t="s">
        <v>58</v>
      </c>
      <c r="G93" s="8" t="s">
        <v>104</v>
      </c>
      <c r="H93" s="60" t="s">
        <v>116</v>
      </c>
      <c r="I93" s="2"/>
      <c r="J93" s="2"/>
    </row>
    <row r="94" customFormat="false" ht="15" hidden="false" customHeight="false" outlineLevel="0" collapsed="false">
      <c r="A94" s="34" t="s">
        <v>205</v>
      </c>
      <c r="B94" s="8" t="s">
        <v>79</v>
      </c>
      <c r="C94" s="42" t="s">
        <v>76</v>
      </c>
      <c r="D94" s="58" t="n">
        <v>1842073.5</v>
      </c>
      <c r="E94" s="53" t="n">
        <v>1</v>
      </c>
      <c r="F94" s="61" t="s">
        <v>58</v>
      </c>
      <c r="G94" s="8" t="s">
        <v>104</v>
      </c>
      <c r="H94" s="60" t="s">
        <v>116</v>
      </c>
      <c r="I94" s="2"/>
      <c r="J94" s="2"/>
    </row>
    <row r="95" customFormat="false" ht="15" hidden="false" customHeight="false" outlineLevel="0" collapsed="false">
      <c r="A95" s="34" t="s">
        <v>206</v>
      </c>
      <c r="B95" s="8" t="s">
        <v>75</v>
      </c>
      <c r="C95" s="42" t="s">
        <v>76</v>
      </c>
      <c r="D95" s="58" t="n">
        <v>116172042.74</v>
      </c>
      <c r="E95" s="46" t="n">
        <v>13</v>
      </c>
      <c r="F95" s="62" t="s">
        <v>55</v>
      </c>
      <c r="G95" s="8" t="s">
        <v>98</v>
      </c>
      <c r="H95" s="60" t="s">
        <v>118</v>
      </c>
      <c r="I95" s="2"/>
      <c r="J95" s="2"/>
    </row>
    <row r="96" customFormat="false" ht="15" hidden="false" customHeight="false" outlineLevel="0" collapsed="false">
      <c r="A96" s="34" t="s">
        <v>207</v>
      </c>
      <c r="B96" s="8" t="s">
        <v>75</v>
      </c>
      <c r="C96" s="42" t="s">
        <v>76</v>
      </c>
      <c r="D96" s="58" t="n">
        <v>83085797.4</v>
      </c>
      <c r="E96" s="49" t="n">
        <v>13</v>
      </c>
      <c r="F96" s="59" t="s">
        <v>56</v>
      </c>
      <c r="G96" s="8" t="s">
        <v>100</v>
      </c>
      <c r="H96" s="60" t="s">
        <v>118</v>
      </c>
      <c r="I96" s="2"/>
      <c r="J96" s="2"/>
    </row>
    <row r="97" customFormat="false" ht="15" hidden="false" customHeight="false" outlineLevel="0" collapsed="false">
      <c r="A97" s="34" t="s">
        <v>208</v>
      </c>
      <c r="B97" s="8" t="s">
        <v>75</v>
      </c>
      <c r="C97" s="42" t="s">
        <v>76</v>
      </c>
      <c r="D97" s="58" t="n">
        <v>58101748.75</v>
      </c>
      <c r="E97" s="49" t="n">
        <v>13</v>
      </c>
      <c r="F97" s="59" t="s">
        <v>56</v>
      </c>
      <c r="G97" s="8" t="s">
        <v>100</v>
      </c>
      <c r="H97" s="60" t="s">
        <v>118</v>
      </c>
      <c r="I97" s="2"/>
      <c r="J97" s="2"/>
    </row>
    <row r="98" customFormat="false" ht="15" hidden="false" customHeight="false" outlineLevel="0" collapsed="false">
      <c r="A98" s="34" t="s">
        <v>209</v>
      </c>
      <c r="B98" s="8" t="s">
        <v>75</v>
      </c>
      <c r="C98" s="42" t="s">
        <v>76</v>
      </c>
      <c r="D98" s="58" t="n">
        <v>53070575.57</v>
      </c>
      <c r="E98" s="49" t="n">
        <v>13</v>
      </c>
      <c r="F98" s="59" t="s">
        <v>56</v>
      </c>
      <c r="G98" s="8" t="s">
        <v>100</v>
      </c>
      <c r="H98" s="60" t="s">
        <v>118</v>
      </c>
      <c r="I98" s="2"/>
      <c r="J98" s="2"/>
    </row>
    <row r="99" customFormat="false" ht="15" hidden="false" customHeight="false" outlineLevel="0" collapsed="false">
      <c r="A99" s="34" t="s">
        <v>210</v>
      </c>
      <c r="B99" s="8" t="s">
        <v>75</v>
      </c>
      <c r="C99" s="42" t="s">
        <v>76</v>
      </c>
      <c r="D99" s="58" t="n">
        <v>11364241.52</v>
      </c>
      <c r="E99" s="51" t="n">
        <v>9</v>
      </c>
      <c r="F99" s="21" t="s">
        <v>57</v>
      </c>
      <c r="G99" s="8" t="s">
        <v>102</v>
      </c>
      <c r="H99" s="60" t="s">
        <v>116</v>
      </c>
      <c r="I99" s="2"/>
      <c r="J99" s="2"/>
    </row>
    <row r="100" customFormat="false" ht="15" hidden="false" customHeight="false" outlineLevel="0" collapsed="false">
      <c r="A100" s="34" t="s">
        <v>211</v>
      </c>
      <c r="B100" s="8" t="s">
        <v>75</v>
      </c>
      <c r="C100" s="42" t="s">
        <v>76</v>
      </c>
      <c r="D100" s="58" t="n">
        <v>7809501.1</v>
      </c>
      <c r="E100" s="51" t="n">
        <v>7</v>
      </c>
      <c r="F100" s="21" t="s">
        <v>57</v>
      </c>
      <c r="G100" s="8" t="s">
        <v>102</v>
      </c>
      <c r="H100" s="60" t="s">
        <v>116</v>
      </c>
      <c r="I100" s="2"/>
      <c r="J100" s="2"/>
    </row>
    <row r="101" customFormat="false" ht="15" hidden="false" customHeight="false" outlineLevel="0" collapsed="false">
      <c r="A101" s="34" t="s">
        <v>212</v>
      </c>
      <c r="B101" s="8" t="s">
        <v>75</v>
      </c>
      <c r="C101" s="42" t="s">
        <v>76</v>
      </c>
      <c r="D101" s="58" t="n">
        <v>5124412.32</v>
      </c>
      <c r="E101" s="51" t="n">
        <v>6</v>
      </c>
      <c r="F101" s="21" t="s">
        <v>57</v>
      </c>
      <c r="G101" s="8" t="s">
        <v>102</v>
      </c>
      <c r="H101" s="60" t="s">
        <v>116</v>
      </c>
      <c r="I101" s="2"/>
      <c r="J101" s="2"/>
    </row>
    <row r="102" customFormat="false" ht="15" hidden="false" customHeight="false" outlineLevel="0" collapsed="false">
      <c r="A102" s="34" t="s">
        <v>213</v>
      </c>
      <c r="B102" s="8" t="s">
        <v>75</v>
      </c>
      <c r="C102" s="42" t="s">
        <v>76</v>
      </c>
      <c r="D102" s="58" t="n">
        <v>5043981.59</v>
      </c>
      <c r="E102" s="51" t="n">
        <v>6</v>
      </c>
      <c r="F102" s="21" t="s">
        <v>57</v>
      </c>
      <c r="G102" s="8" t="s">
        <v>102</v>
      </c>
      <c r="H102" s="60" t="s">
        <v>116</v>
      </c>
      <c r="I102" s="2"/>
      <c r="J102" s="2"/>
    </row>
    <row r="103" customFormat="false" ht="15" hidden="false" customHeight="false" outlineLevel="0" collapsed="false">
      <c r="A103" s="34" t="s">
        <v>214</v>
      </c>
      <c r="B103" s="8" t="s">
        <v>75</v>
      </c>
      <c r="C103" s="42" t="s">
        <v>76</v>
      </c>
      <c r="D103" s="58" t="n">
        <v>4666899.9</v>
      </c>
      <c r="E103" s="53" t="n">
        <v>6</v>
      </c>
      <c r="F103" s="61" t="s">
        <v>58</v>
      </c>
      <c r="G103" s="8" t="s">
        <v>104</v>
      </c>
      <c r="H103" s="60" t="s">
        <v>116</v>
      </c>
      <c r="I103" s="2"/>
      <c r="J103" s="2"/>
    </row>
    <row r="104" customFormat="false" ht="15" hidden="false" customHeight="false" outlineLevel="0" collapsed="false">
      <c r="A104" s="34" t="s">
        <v>215</v>
      </c>
      <c r="B104" s="8" t="s">
        <v>77</v>
      </c>
      <c r="C104" s="42" t="s">
        <v>76</v>
      </c>
      <c r="D104" s="58" t="n">
        <v>39422122.78</v>
      </c>
      <c r="E104" s="49" t="n">
        <v>12</v>
      </c>
      <c r="F104" s="59" t="s">
        <v>56</v>
      </c>
      <c r="G104" s="8" t="s">
        <v>100</v>
      </c>
      <c r="H104" s="60" t="s">
        <v>118</v>
      </c>
      <c r="I104" s="2"/>
      <c r="J104" s="2"/>
    </row>
    <row r="105" customFormat="false" ht="15" hidden="false" customHeight="false" outlineLevel="0" collapsed="false">
      <c r="A105" s="34" t="s">
        <v>216</v>
      </c>
      <c r="B105" s="8" t="s">
        <v>77</v>
      </c>
      <c r="C105" s="42" t="s">
        <v>76</v>
      </c>
      <c r="D105" s="58" t="n">
        <v>18309008.08</v>
      </c>
      <c r="E105" s="49" t="n">
        <v>12</v>
      </c>
      <c r="F105" s="59" t="s">
        <v>56</v>
      </c>
      <c r="G105" s="8" t="s">
        <v>100</v>
      </c>
      <c r="H105" s="60" t="s">
        <v>118</v>
      </c>
      <c r="I105" s="2"/>
      <c r="J105" s="2"/>
    </row>
    <row r="106" customFormat="false" ht="15" hidden="false" customHeight="false" outlineLevel="0" collapsed="false">
      <c r="A106" s="34" t="s">
        <v>217</v>
      </c>
      <c r="B106" s="8" t="s">
        <v>77</v>
      </c>
      <c r="C106" s="42" t="s">
        <v>76</v>
      </c>
      <c r="D106" s="58" t="n">
        <v>17171360.7</v>
      </c>
      <c r="E106" s="49" t="n">
        <v>12</v>
      </c>
      <c r="F106" s="59" t="s">
        <v>56</v>
      </c>
      <c r="G106" s="8" t="s">
        <v>100</v>
      </c>
      <c r="H106" s="60" t="s">
        <v>118</v>
      </c>
      <c r="I106" s="2"/>
      <c r="J106" s="2"/>
    </row>
    <row r="107" customFormat="false" ht="15" hidden="false" customHeight="false" outlineLevel="0" collapsed="false">
      <c r="A107" s="34" t="s">
        <v>218</v>
      </c>
      <c r="B107" s="8" t="s">
        <v>77</v>
      </c>
      <c r="C107" s="42" t="s">
        <v>76</v>
      </c>
      <c r="D107" s="58" t="n">
        <v>9778058.56</v>
      </c>
      <c r="E107" s="51" t="n">
        <v>10</v>
      </c>
      <c r="F107" s="21" t="s">
        <v>57</v>
      </c>
      <c r="G107" s="8" t="s">
        <v>102</v>
      </c>
      <c r="H107" s="60" t="s">
        <v>116</v>
      </c>
      <c r="I107" s="2"/>
      <c r="J107" s="2"/>
    </row>
    <row r="108" customFormat="false" ht="15" hidden="false" customHeight="false" outlineLevel="0" collapsed="false">
      <c r="A108" s="34" t="s">
        <v>219</v>
      </c>
      <c r="B108" s="8" t="s">
        <v>77</v>
      </c>
      <c r="C108" s="42" t="s">
        <v>76</v>
      </c>
      <c r="D108" s="58" t="n">
        <v>7387873.89</v>
      </c>
      <c r="E108" s="51" t="n">
        <v>9</v>
      </c>
      <c r="F108" s="21" t="s">
        <v>57</v>
      </c>
      <c r="G108" s="8" t="s">
        <v>102</v>
      </c>
      <c r="H108" s="60" t="s">
        <v>116</v>
      </c>
      <c r="I108" s="2"/>
      <c r="J108" s="2"/>
    </row>
    <row r="109" customFormat="false" ht="15" hidden="false" customHeight="false" outlineLevel="0" collapsed="false">
      <c r="A109" s="34" t="s">
        <v>220</v>
      </c>
      <c r="B109" s="8" t="s">
        <v>77</v>
      </c>
      <c r="C109" s="42" t="s">
        <v>76</v>
      </c>
      <c r="D109" s="58" t="n">
        <v>7063390.41</v>
      </c>
      <c r="E109" s="51" t="n">
        <v>8</v>
      </c>
      <c r="F109" s="21" t="s">
        <v>57</v>
      </c>
      <c r="G109" s="8" t="s">
        <v>102</v>
      </c>
      <c r="H109" s="60" t="s">
        <v>116</v>
      </c>
      <c r="I109" s="2"/>
      <c r="J109" s="2"/>
    </row>
    <row r="110" customFormat="false" ht="15" hidden="false" customHeight="false" outlineLevel="0" collapsed="false">
      <c r="A110" s="34" t="s">
        <v>221</v>
      </c>
      <c r="B110" s="8" t="s">
        <v>77</v>
      </c>
      <c r="C110" s="42" t="s">
        <v>76</v>
      </c>
      <c r="D110" s="58" t="n">
        <v>2724019.52</v>
      </c>
      <c r="E110" s="53" t="n">
        <v>5</v>
      </c>
      <c r="F110" s="61" t="s">
        <v>58</v>
      </c>
      <c r="G110" s="8" t="s">
        <v>104</v>
      </c>
      <c r="H110" s="60" t="s">
        <v>116</v>
      </c>
      <c r="I110" s="2"/>
      <c r="J110" s="2"/>
    </row>
    <row r="111" customFormat="false" ht="15" hidden="false" customHeight="false" outlineLevel="0" collapsed="false">
      <c r="A111" s="34" t="s">
        <v>222</v>
      </c>
      <c r="B111" s="8" t="s">
        <v>77</v>
      </c>
      <c r="C111" s="42" t="s">
        <v>76</v>
      </c>
      <c r="D111" s="58" t="n">
        <v>2244310.72</v>
      </c>
      <c r="E111" s="53" t="n">
        <v>5</v>
      </c>
      <c r="F111" s="61" t="s">
        <v>58</v>
      </c>
      <c r="G111" s="8" t="s">
        <v>104</v>
      </c>
      <c r="H111" s="60" t="s">
        <v>116</v>
      </c>
      <c r="I111" s="2"/>
      <c r="J111" s="2"/>
    </row>
    <row r="112" customFormat="false" ht="15" hidden="false" customHeight="false" outlineLevel="0" collapsed="false">
      <c r="A112" s="34" t="s">
        <v>223</v>
      </c>
      <c r="B112" s="8" t="s">
        <v>77</v>
      </c>
      <c r="C112" s="42" t="s">
        <v>76</v>
      </c>
      <c r="D112" s="58" t="n">
        <v>1528071.54</v>
      </c>
      <c r="E112" s="53" t="n">
        <v>4</v>
      </c>
      <c r="F112" s="61" t="s">
        <v>58</v>
      </c>
      <c r="G112" s="8" t="s">
        <v>104</v>
      </c>
      <c r="H112" s="60" t="s">
        <v>116</v>
      </c>
      <c r="I112" s="2"/>
      <c r="J112" s="2"/>
    </row>
    <row r="113" customFormat="false" ht="15" hidden="false" customHeight="false" outlineLevel="0" collapsed="false">
      <c r="A113" s="34" t="s">
        <v>224</v>
      </c>
      <c r="B113" s="8" t="s">
        <v>77</v>
      </c>
      <c r="C113" s="42" t="s">
        <v>76</v>
      </c>
      <c r="D113" s="58" t="n">
        <v>1410704.96</v>
      </c>
      <c r="E113" s="53" t="n">
        <v>4</v>
      </c>
      <c r="F113" s="61" t="s">
        <v>58</v>
      </c>
      <c r="G113" s="8" t="s">
        <v>104</v>
      </c>
      <c r="H113" s="60" t="s">
        <v>116</v>
      </c>
      <c r="I113" s="2"/>
      <c r="J113" s="2"/>
    </row>
    <row r="114" customFormat="false" ht="15" hidden="false" customHeight="false" outlineLevel="0" collapsed="false">
      <c r="A114" s="34" t="s">
        <v>225</v>
      </c>
      <c r="B114" s="8" t="s">
        <v>84</v>
      </c>
      <c r="C114" s="43" t="s">
        <v>81</v>
      </c>
      <c r="D114" s="58" t="n">
        <v>27819443.58</v>
      </c>
      <c r="E114" s="49" t="n">
        <v>5</v>
      </c>
      <c r="F114" s="59" t="s">
        <v>56</v>
      </c>
      <c r="G114" s="8" t="s">
        <v>100</v>
      </c>
      <c r="H114" s="60" t="s">
        <v>118</v>
      </c>
      <c r="I114" s="2"/>
      <c r="J114" s="2"/>
    </row>
    <row r="115" customFormat="false" ht="15" hidden="false" customHeight="false" outlineLevel="0" collapsed="false">
      <c r="A115" s="34" t="s">
        <v>226</v>
      </c>
      <c r="B115" s="8" t="s">
        <v>84</v>
      </c>
      <c r="C115" s="43" t="s">
        <v>81</v>
      </c>
      <c r="D115" s="58" t="n">
        <v>27508194.61</v>
      </c>
      <c r="E115" s="49" t="n">
        <v>5</v>
      </c>
      <c r="F115" s="59" t="s">
        <v>56</v>
      </c>
      <c r="G115" s="8" t="s">
        <v>100</v>
      </c>
      <c r="H115" s="60" t="s">
        <v>118</v>
      </c>
      <c r="I115" s="2"/>
      <c r="J115" s="2"/>
    </row>
    <row r="116" customFormat="false" ht="15" hidden="false" customHeight="false" outlineLevel="0" collapsed="false">
      <c r="A116" s="34" t="s">
        <v>227</v>
      </c>
      <c r="B116" s="8" t="s">
        <v>84</v>
      </c>
      <c r="C116" s="43" t="s">
        <v>81</v>
      </c>
      <c r="D116" s="58" t="n">
        <v>11962044.87</v>
      </c>
      <c r="E116" s="51" t="n">
        <v>4</v>
      </c>
      <c r="F116" s="21" t="s">
        <v>57</v>
      </c>
      <c r="G116" s="8" t="s">
        <v>102</v>
      </c>
      <c r="H116" s="60" t="s">
        <v>116</v>
      </c>
      <c r="I116" s="2"/>
      <c r="J116" s="2"/>
    </row>
    <row r="117" customFormat="false" ht="15" hidden="false" customHeight="false" outlineLevel="0" collapsed="false">
      <c r="A117" s="34" t="s">
        <v>228</v>
      </c>
      <c r="B117" s="8" t="s">
        <v>84</v>
      </c>
      <c r="C117" s="43" t="s">
        <v>81</v>
      </c>
      <c r="D117" s="58" t="n">
        <v>6142652.05</v>
      </c>
      <c r="E117" s="51" t="n">
        <v>3</v>
      </c>
      <c r="F117" s="21" t="s">
        <v>57</v>
      </c>
      <c r="G117" s="8" t="s">
        <v>102</v>
      </c>
      <c r="H117" s="60" t="s">
        <v>116</v>
      </c>
      <c r="I117" s="2"/>
      <c r="J117" s="2"/>
    </row>
    <row r="118" customFormat="false" ht="15" hidden="false" customHeight="false" outlineLevel="0" collapsed="false">
      <c r="A118" s="34" t="s">
        <v>229</v>
      </c>
      <c r="B118" s="8" t="s">
        <v>84</v>
      </c>
      <c r="C118" s="43" t="s">
        <v>81</v>
      </c>
      <c r="D118" s="58" t="n">
        <v>5980721.18</v>
      </c>
      <c r="E118" s="51" t="n">
        <v>3</v>
      </c>
      <c r="F118" s="21" t="s">
        <v>57</v>
      </c>
      <c r="G118" s="8" t="s">
        <v>102</v>
      </c>
      <c r="H118" s="60" t="s">
        <v>116</v>
      </c>
      <c r="I118" s="2"/>
      <c r="J118" s="2"/>
    </row>
    <row r="119" customFormat="false" ht="15" hidden="false" customHeight="false" outlineLevel="0" collapsed="false">
      <c r="A119" s="34" t="s">
        <v>230</v>
      </c>
      <c r="B119" s="8" t="s">
        <v>84</v>
      </c>
      <c r="C119" s="43" t="s">
        <v>81</v>
      </c>
      <c r="D119" s="58" t="n">
        <v>5946404.89</v>
      </c>
      <c r="E119" s="51" t="n">
        <v>3</v>
      </c>
      <c r="F119" s="21" t="s">
        <v>57</v>
      </c>
      <c r="G119" s="8" t="s">
        <v>102</v>
      </c>
      <c r="H119" s="60" t="s">
        <v>116</v>
      </c>
      <c r="I119" s="2"/>
      <c r="J119" s="2"/>
    </row>
    <row r="120" customFormat="false" ht="15" hidden="false" customHeight="false" outlineLevel="0" collapsed="false">
      <c r="A120" s="34" t="s">
        <v>231</v>
      </c>
      <c r="B120" s="8" t="s">
        <v>84</v>
      </c>
      <c r="C120" s="43" t="s">
        <v>81</v>
      </c>
      <c r="D120" s="58" t="n">
        <v>5327307.41</v>
      </c>
      <c r="E120" s="51" t="n">
        <v>2</v>
      </c>
      <c r="F120" s="21" t="s">
        <v>57</v>
      </c>
      <c r="G120" s="8" t="s">
        <v>102</v>
      </c>
      <c r="H120" s="60" t="s">
        <v>116</v>
      </c>
      <c r="I120" s="2"/>
      <c r="J120" s="2"/>
    </row>
    <row r="121" customFormat="false" ht="15" hidden="false" customHeight="false" outlineLevel="0" collapsed="false">
      <c r="A121" s="34" t="s">
        <v>232</v>
      </c>
      <c r="B121" s="8" t="s">
        <v>84</v>
      </c>
      <c r="C121" s="43" t="s">
        <v>81</v>
      </c>
      <c r="D121" s="58" t="n">
        <v>2684274.3</v>
      </c>
      <c r="E121" s="53" t="n">
        <v>2</v>
      </c>
      <c r="F121" s="61" t="s">
        <v>58</v>
      </c>
      <c r="G121" s="8" t="s">
        <v>104</v>
      </c>
      <c r="H121" s="60" t="s">
        <v>116</v>
      </c>
      <c r="I121" s="2"/>
      <c r="J121" s="2"/>
    </row>
    <row r="122" customFormat="false" ht="15" hidden="false" customHeight="false" outlineLevel="0" collapsed="false">
      <c r="A122" s="34" t="s">
        <v>233</v>
      </c>
      <c r="B122" s="8" t="s">
        <v>84</v>
      </c>
      <c r="C122" s="43" t="s">
        <v>81</v>
      </c>
      <c r="D122" s="58" t="n">
        <v>2551128.46</v>
      </c>
      <c r="E122" s="53" t="n">
        <v>2</v>
      </c>
      <c r="F122" s="61" t="s">
        <v>58</v>
      </c>
      <c r="G122" s="8" t="s">
        <v>104</v>
      </c>
      <c r="H122" s="60" t="s">
        <v>116</v>
      </c>
      <c r="I122" s="2"/>
      <c r="J122" s="2"/>
    </row>
    <row r="123" customFormat="false" ht="15" hidden="false" customHeight="false" outlineLevel="0" collapsed="false">
      <c r="A123" s="34" t="s">
        <v>234</v>
      </c>
      <c r="B123" s="8" t="s">
        <v>84</v>
      </c>
      <c r="C123" s="43" t="s">
        <v>81</v>
      </c>
      <c r="D123" s="58" t="n">
        <v>1836999.82</v>
      </c>
      <c r="E123" s="53" t="n">
        <v>1</v>
      </c>
      <c r="F123" s="61" t="s">
        <v>58</v>
      </c>
      <c r="G123" s="8" t="s">
        <v>104</v>
      </c>
      <c r="H123" s="60" t="s">
        <v>116</v>
      </c>
      <c r="I123" s="2"/>
      <c r="J123" s="2"/>
    </row>
    <row r="124" customFormat="false" ht="15" hidden="false" customHeight="false" outlineLevel="0" collapsed="false">
      <c r="A124" s="34" t="s">
        <v>235</v>
      </c>
      <c r="B124" s="8" t="s">
        <v>84</v>
      </c>
      <c r="C124" s="43" t="s">
        <v>81</v>
      </c>
      <c r="D124" s="58" t="n">
        <v>1716590.9</v>
      </c>
      <c r="E124" s="53" t="n">
        <v>1</v>
      </c>
      <c r="F124" s="61" t="s">
        <v>58</v>
      </c>
      <c r="G124" s="8" t="s">
        <v>104</v>
      </c>
      <c r="H124" s="60" t="s">
        <v>116</v>
      </c>
      <c r="I124" s="2"/>
      <c r="J124" s="2"/>
    </row>
    <row r="125" customFormat="false" ht="15" hidden="false" customHeight="false" outlineLevel="0" collapsed="false">
      <c r="A125" s="34" t="s">
        <v>236</v>
      </c>
      <c r="B125" s="8" t="s">
        <v>84</v>
      </c>
      <c r="C125" s="43" t="s">
        <v>81</v>
      </c>
      <c r="D125" s="58" t="n">
        <v>1507916.21</v>
      </c>
      <c r="E125" s="53" t="n">
        <v>1</v>
      </c>
      <c r="F125" s="61" t="s">
        <v>58</v>
      </c>
      <c r="G125" s="8" t="s">
        <v>104</v>
      </c>
      <c r="H125" s="60" t="s">
        <v>116</v>
      </c>
      <c r="I125" s="2"/>
      <c r="J125" s="2"/>
    </row>
    <row r="126" customFormat="false" ht="15" hidden="false" customHeight="false" outlineLevel="0" collapsed="false">
      <c r="A126" s="34" t="s">
        <v>237</v>
      </c>
      <c r="B126" s="8" t="s">
        <v>84</v>
      </c>
      <c r="C126" s="43" t="s">
        <v>81</v>
      </c>
      <c r="D126" s="58" t="n">
        <v>1435867.69</v>
      </c>
      <c r="E126" s="53" t="n">
        <v>1</v>
      </c>
      <c r="F126" s="61" t="s">
        <v>58</v>
      </c>
      <c r="G126" s="8" t="s">
        <v>104</v>
      </c>
      <c r="H126" s="60" t="s">
        <v>116</v>
      </c>
      <c r="I126" s="2"/>
      <c r="J126" s="2"/>
    </row>
    <row r="127" customFormat="false" ht="15" hidden="false" customHeight="false" outlineLevel="0" collapsed="false">
      <c r="A127" s="34" t="s">
        <v>238</v>
      </c>
      <c r="B127" s="8" t="s">
        <v>85</v>
      </c>
      <c r="C127" s="43" t="s">
        <v>81</v>
      </c>
      <c r="D127" s="58" t="n">
        <v>40311166.91</v>
      </c>
      <c r="E127" s="49" t="n">
        <v>5</v>
      </c>
      <c r="F127" s="59" t="s">
        <v>56</v>
      </c>
      <c r="G127" s="8" t="s">
        <v>100</v>
      </c>
      <c r="H127" s="60" t="s">
        <v>118</v>
      </c>
      <c r="I127" s="2"/>
      <c r="J127" s="2"/>
    </row>
    <row r="128" customFormat="false" ht="15" hidden="false" customHeight="false" outlineLevel="0" collapsed="false">
      <c r="A128" s="34" t="s">
        <v>239</v>
      </c>
      <c r="B128" s="8" t="s">
        <v>85</v>
      </c>
      <c r="C128" s="43" t="s">
        <v>81</v>
      </c>
      <c r="D128" s="58" t="n">
        <v>16897126.76</v>
      </c>
      <c r="E128" s="49" t="n">
        <v>5</v>
      </c>
      <c r="F128" s="59" t="s">
        <v>56</v>
      </c>
      <c r="G128" s="8" t="s">
        <v>100</v>
      </c>
      <c r="H128" s="60" t="s">
        <v>118</v>
      </c>
      <c r="I128" s="2"/>
      <c r="J128" s="2"/>
    </row>
    <row r="129" customFormat="false" ht="15" hidden="false" customHeight="false" outlineLevel="0" collapsed="false">
      <c r="A129" s="34" t="s">
        <v>240</v>
      </c>
      <c r="B129" s="8" t="s">
        <v>85</v>
      </c>
      <c r="C129" s="43" t="s">
        <v>81</v>
      </c>
      <c r="D129" s="58" t="n">
        <v>8603207.14</v>
      </c>
      <c r="E129" s="51" t="n">
        <v>5</v>
      </c>
      <c r="F129" s="21" t="s">
        <v>57</v>
      </c>
      <c r="G129" s="8" t="s">
        <v>102</v>
      </c>
      <c r="H129" s="60" t="s">
        <v>118</v>
      </c>
      <c r="I129" s="2"/>
      <c r="J129" s="2"/>
    </row>
    <row r="130" customFormat="false" ht="15" hidden="false" customHeight="false" outlineLevel="0" collapsed="false">
      <c r="A130" s="34" t="s">
        <v>241</v>
      </c>
      <c r="B130" s="8" t="s">
        <v>85</v>
      </c>
      <c r="C130" s="43" t="s">
        <v>81</v>
      </c>
      <c r="D130" s="58" t="n">
        <v>4910796.34</v>
      </c>
      <c r="E130" s="51" t="n">
        <v>4</v>
      </c>
      <c r="F130" s="21" t="s">
        <v>57</v>
      </c>
      <c r="G130" s="8" t="s">
        <v>102</v>
      </c>
      <c r="H130" s="60" t="s">
        <v>116</v>
      </c>
      <c r="I130" s="2"/>
      <c r="J130" s="2"/>
    </row>
    <row r="131" customFormat="false" ht="15" hidden="false" customHeight="false" outlineLevel="0" collapsed="false">
      <c r="A131" s="34" t="s">
        <v>242</v>
      </c>
      <c r="B131" s="8" t="s">
        <v>85</v>
      </c>
      <c r="C131" s="43" t="s">
        <v>81</v>
      </c>
      <c r="D131" s="58" t="n">
        <v>4763767.47</v>
      </c>
      <c r="E131" s="51" t="n">
        <v>4</v>
      </c>
      <c r="F131" s="21" t="s">
        <v>57</v>
      </c>
      <c r="G131" s="8" t="s">
        <v>102</v>
      </c>
      <c r="H131" s="60" t="s">
        <v>116</v>
      </c>
      <c r="I131" s="2"/>
      <c r="J131" s="2"/>
    </row>
    <row r="132" customFormat="false" ht="15" hidden="false" customHeight="false" outlineLevel="0" collapsed="false">
      <c r="A132" s="34" t="s">
        <v>243</v>
      </c>
      <c r="B132" s="8" t="s">
        <v>85</v>
      </c>
      <c r="C132" s="43" t="s">
        <v>81</v>
      </c>
      <c r="D132" s="58" t="n">
        <v>4351677.88</v>
      </c>
      <c r="E132" s="53" t="n">
        <v>3</v>
      </c>
      <c r="F132" s="61" t="s">
        <v>58</v>
      </c>
      <c r="G132" s="8" t="s">
        <v>104</v>
      </c>
      <c r="H132" s="60" t="s">
        <v>116</v>
      </c>
      <c r="I132" s="2"/>
      <c r="J132" s="2"/>
    </row>
    <row r="133" customFormat="false" ht="15" hidden="false" customHeight="false" outlineLevel="0" collapsed="false">
      <c r="A133" s="34" t="s">
        <v>244</v>
      </c>
      <c r="B133" s="8" t="s">
        <v>85</v>
      </c>
      <c r="C133" s="43" t="s">
        <v>81</v>
      </c>
      <c r="D133" s="58" t="n">
        <v>2934249.13</v>
      </c>
      <c r="E133" s="53" t="n">
        <v>3</v>
      </c>
      <c r="F133" s="61" t="s">
        <v>58</v>
      </c>
      <c r="G133" s="8" t="s">
        <v>104</v>
      </c>
      <c r="H133" s="60" t="s">
        <v>116</v>
      </c>
      <c r="I133" s="2"/>
      <c r="J133" s="2"/>
    </row>
    <row r="134" customFormat="false" ht="15" hidden="false" customHeight="false" outlineLevel="0" collapsed="false">
      <c r="A134" s="34" t="s">
        <v>245</v>
      </c>
      <c r="B134" s="8" t="s">
        <v>85</v>
      </c>
      <c r="C134" s="43" t="s">
        <v>81</v>
      </c>
      <c r="D134" s="58" t="n">
        <v>1991833.81</v>
      </c>
      <c r="E134" s="53" t="n">
        <v>2</v>
      </c>
      <c r="F134" s="61" t="s">
        <v>58</v>
      </c>
      <c r="G134" s="8" t="s">
        <v>104</v>
      </c>
      <c r="H134" s="60" t="s">
        <v>116</v>
      </c>
      <c r="I134" s="2"/>
      <c r="J134" s="2"/>
    </row>
    <row r="135" customFormat="false" ht="15" hidden="false" customHeight="false" outlineLevel="0" collapsed="false">
      <c r="A135" s="34" t="s">
        <v>246</v>
      </c>
      <c r="B135" s="8" t="s">
        <v>83</v>
      </c>
      <c r="C135" s="43" t="s">
        <v>81</v>
      </c>
      <c r="D135" s="58" t="n">
        <v>146027021.29</v>
      </c>
      <c r="E135" s="46" t="n">
        <v>22</v>
      </c>
      <c r="F135" s="62" t="s">
        <v>55</v>
      </c>
      <c r="G135" s="8" t="s">
        <v>98</v>
      </c>
      <c r="H135" s="60" t="s">
        <v>116</v>
      </c>
      <c r="I135" s="2"/>
      <c r="J135" s="2"/>
    </row>
    <row r="136" customFormat="false" ht="15" hidden="false" customHeight="false" outlineLevel="0" collapsed="false">
      <c r="A136" s="34" t="s">
        <v>247</v>
      </c>
      <c r="B136" s="8" t="s">
        <v>83</v>
      </c>
      <c r="C136" s="43" t="s">
        <v>81</v>
      </c>
      <c r="D136" s="58" t="n">
        <v>2160577.66</v>
      </c>
      <c r="E136" s="53" t="n">
        <v>6</v>
      </c>
      <c r="F136" s="61" t="s">
        <v>58</v>
      </c>
      <c r="G136" s="8" t="s">
        <v>104</v>
      </c>
      <c r="H136" s="60" t="s">
        <v>118</v>
      </c>
      <c r="I136" s="2"/>
      <c r="J136" s="2"/>
    </row>
    <row r="137" customFormat="false" ht="15" hidden="false" customHeight="false" outlineLevel="0" collapsed="false">
      <c r="A137" s="34" t="s">
        <v>248</v>
      </c>
      <c r="B137" s="8" t="s">
        <v>83</v>
      </c>
      <c r="C137" s="43" t="s">
        <v>81</v>
      </c>
      <c r="D137" s="58" t="n">
        <v>2034340.65</v>
      </c>
      <c r="E137" s="53" t="n">
        <v>6</v>
      </c>
      <c r="F137" s="61" t="s">
        <v>58</v>
      </c>
      <c r="G137" s="8" t="s">
        <v>104</v>
      </c>
      <c r="H137" s="60" t="s">
        <v>118</v>
      </c>
      <c r="I137" s="2"/>
      <c r="J137" s="2"/>
    </row>
    <row r="138" customFormat="false" ht="15" hidden="false" customHeight="false" outlineLevel="0" collapsed="false">
      <c r="A138" s="34" t="s">
        <v>249</v>
      </c>
      <c r="B138" s="8" t="s">
        <v>83</v>
      </c>
      <c r="C138" s="43" t="s">
        <v>81</v>
      </c>
      <c r="D138" s="58" t="n">
        <v>1237371.9</v>
      </c>
      <c r="E138" s="53" t="n">
        <v>6</v>
      </c>
      <c r="F138" s="61" t="s">
        <v>58</v>
      </c>
      <c r="G138" s="8" t="s">
        <v>104</v>
      </c>
      <c r="H138" s="60" t="s">
        <v>118</v>
      </c>
      <c r="I138" s="2"/>
      <c r="J138" s="2"/>
    </row>
    <row r="139" customFormat="false" ht="15" hidden="false" customHeight="false" outlineLevel="0" collapsed="false">
      <c r="A139" s="34" t="s">
        <v>250</v>
      </c>
      <c r="B139" s="8" t="s">
        <v>82</v>
      </c>
      <c r="C139" s="43" t="s">
        <v>81</v>
      </c>
      <c r="D139" s="58" t="n">
        <v>142852557.73</v>
      </c>
      <c r="E139" s="46" t="n">
        <v>9</v>
      </c>
      <c r="F139" s="62" t="s">
        <v>55</v>
      </c>
      <c r="G139" s="8" t="s">
        <v>98</v>
      </c>
      <c r="H139" s="60" t="s">
        <v>118</v>
      </c>
      <c r="I139" s="2"/>
      <c r="J139" s="2"/>
    </row>
    <row r="140" customFormat="false" ht="15" hidden="false" customHeight="false" outlineLevel="0" collapsed="false">
      <c r="A140" s="34" t="s">
        <v>251</v>
      </c>
      <c r="B140" s="8" t="s">
        <v>82</v>
      </c>
      <c r="C140" s="43" t="s">
        <v>81</v>
      </c>
      <c r="D140" s="58" t="n">
        <v>75603425.05</v>
      </c>
      <c r="E140" s="49" t="n">
        <v>9</v>
      </c>
      <c r="F140" s="59" t="s">
        <v>56</v>
      </c>
      <c r="G140" s="8" t="s">
        <v>100</v>
      </c>
      <c r="H140" s="60" t="s">
        <v>118</v>
      </c>
      <c r="I140" s="2"/>
      <c r="J140" s="2"/>
    </row>
    <row r="141" customFormat="false" ht="15" hidden="false" customHeight="false" outlineLevel="0" collapsed="false">
      <c r="A141" s="34" t="s">
        <v>252</v>
      </c>
      <c r="B141" s="8" t="s">
        <v>82</v>
      </c>
      <c r="C141" s="43" t="s">
        <v>81</v>
      </c>
      <c r="D141" s="58" t="n">
        <v>55135420.3</v>
      </c>
      <c r="E141" s="49" t="n">
        <v>8</v>
      </c>
      <c r="F141" s="59" t="s">
        <v>56</v>
      </c>
      <c r="G141" s="8" t="s">
        <v>100</v>
      </c>
      <c r="H141" s="60" t="s">
        <v>116</v>
      </c>
      <c r="I141" s="2"/>
      <c r="J141" s="2"/>
    </row>
    <row r="142" customFormat="false" ht="15" hidden="false" customHeight="false" outlineLevel="0" collapsed="false">
      <c r="A142" s="34" t="s">
        <v>253</v>
      </c>
      <c r="B142" s="8" t="s">
        <v>82</v>
      </c>
      <c r="C142" s="43" t="s">
        <v>81</v>
      </c>
      <c r="D142" s="58" t="n">
        <v>19718240.52</v>
      </c>
      <c r="E142" s="49" t="n">
        <v>5</v>
      </c>
      <c r="F142" s="59" t="s">
        <v>56</v>
      </c>
      <c r="G142" s="8" t="s">
        <v>100</v>
      </c>
      <c r="H142" s="60" t="s">
        <v>116</v>
      </c>
      <c r="I142" s="2"/>
      <c r="J142" s="2"/>
    </row>
    <row r="143" customFormat="false" ht="15" hidden="false" customHeight="false" outlineLevel="0" collapsed="false">
      <c r="A143" s="34" t="s">
        <v>254</v>
      </c>
      <c r="B143" s="8" t="s">
        <v>82</v>
      </c>
      <c r="C143" s="43" t="s">
        <v>81</v>
      </c>
      <c r="D143" s="58" t="n">
        <v>8696464.98</v>
      </c>
      <c r="E143" s="51" t="n">
        <v>3</v>
      </c>
      <c r="F143" s="21" t="s">
        <v>57</v>
      </c>
      <c r="G143" s="8" t="s">
        <v>102</v>
      </c>
      <c r="H143" s="60" t="s">
        <v>116</v>
      </c>
      <c r="I143" s="2"/>
      <c r="J143" s="2"/>
    </row>
    <row r="144" customFormat="false" ht="15" hidden="false" customHeight="false" outlineLevel="0" collapsed="false">
      <c r="A144" s="34" t="s">
        <v>255</v>
      </c>
      <c r="B144" s="8" t="s">
        <v>82</v>
      </c>
      <c r="C144" s="43" t="s">
        <v>81</v>
      </c>
      <c r="D144" s="58" t="n">
        <v>7640648.41</v>
      </c>
      <c r="E144" s="51" t="n">
        <v>3</v>
      </c>
      <c r="F144" s="21" t="s">
        <v>57</v>
      </c>
      <c r="G144" s="8" t="s">
        <v>102</v>
      </c>
      <c r="H144" s="60" t="s">
        <v>116</v>
      </c>
      <c r="I144" s="2"/>
      <c r="J144" s="2"/>
    </row>
    <row r="145" customFormat="false" ht="15" hidden="false" customHeight="false" outlineLevel="0" collapsed="false">
      <c r="A145" s="34" t="s">
        <v>256</v>
      </c>
      <c r="B145" s="8" t="s">
        <v>82</v>
      </c>
      <c r="C145" s="43" t="s">
        <v>81</v>
      </c>
      <c r="D145" s="58" t="n">
        <v>7194515.49</v>
      </c>
      <c r="E145" s="51" t="n">
        <v>3</v>
      </c>
      <c r="F145" s="21" t="s">
        <v>57</v>
      </c>
      <c r="G145" s="8" t="s">
        <v>102</v>
      </c>
      <c r="H145" s="60" t="s">
        <v>116</v>
      </c>
      <c r="I145" s="2"/>
      <c r="J145" s="2"/>
    </row>
    <row r="146" customFormat="false" ht="15" hidden="false" customHeight="false" outlineLevel="0" collapsed="false">
      <c r="A146" s="34" t="s">
        <v>257</v>
      </c>
      <c r="B146" s="8" t="s">
        <v>82</v>
      </c>
      <c r="C146" s="43" t="s">
        <v>81</v>
      </c>
      <c r="D146" s="58" t="n">
        <v>6452097.85</v>
      </c>
      <c r="E146" s="51" t="n">
        <v>3</v>
      </c>
      <c r="F146" s="21" t="s">
        <v>57</v>
      </c>
      <c r="G146" s="8" t="s">
        <v>102</v>
      </c>
      <c r="H146" s="60" t="s">
        <v>116</v>
      </c>
      <c r="I146" s="2"/>
      <c r="J146" s="2"/>
    </row>
    <row r="147" customFormat="false" ht="15" hidden="false" customHeight="false" outlineLevel="0" collapsed="false">
      <c r="A147" s="34" t="s">
        <v>258</v>
      </c>
      <c r="B147" s="8" t="s">
        <v>82</v>
      </c>
      <c r="C147" s="43" t="s">
        <v>81</v>
      </c>
      <c r="D147" s="58" t="n">
        <v>5720993.33</v>
      </c>
      <c r="E147" s="51" t="n">
        <v>3</v>
      </c>
      <c r="F147" s="21" t="s">
        <v>57</v>
      </c>
      <c r="G147" s="8" t="s">
        <v>102</v>
      </c>
      <c r="H147" s="60" t="s">
        <v>116</v>
      </c>
      <c r="I147" s="2"/>
      <c r="J147" s="2"/>
    </row>
    <row r="148" customFormat="false" ht="15" hidden="false" customHeight="false" outlineLevel="0" collapsed="false">
      <c r="A148" s="34" t="s">
        <v>259</v>
      </c>
      <c r="B148" s="8" t="s">
        <v>82</v>
      </c>
      <c r="C148" s="43" t="s">
        <v>81</v>
      </c>
      <c r="D148" s="58" t="n">
        <v>5296766.94</v>
      </c>
      <c r="E148" s="51" t="n">
        <v>3</v>
      </c>
      <c r="F148" s="21" t="s">
        <v>57</v>
      </c>
      <c r="G148" s="8" t="s">
        <v>102</v>
      </c>
      <c r="H148" s="60" t="s">
        <v>116</v>
      </c>
      <c r="I148" s="2"/>
      <c r="J148" s="2"/>
    </row>
    <row r="149" customFormat="false" ht="15" hidden="false" customHeight="false" outlineLevel="0" collapsed="false">
      <c r="A149" s="34" t="s">
        <v>260</v>
      </c>
      <c r="B149" s="8" t="s">
        <v>82</v>
      </c>
      <c r="C149" s="43" t="s">
        <v>81</v>
      </c>
      <c r="D149" s="58" t="n">
        <v>3198270.6</v>
      </c>
      <c r="E149" s="53" t="n">
        <v>2</v>
      </c>
      <c r="F149" s="61" t="s">
        <v>58</v>
      </c>
      <c r="G149" s="8" t="s">
        <v>104</v>
      </c>
      <c r="H149" s="60" t="s">
        <v>116</v>
      </c>
      <c r="I149" s="2"/>
      <c r="J149" s="2"/>
    </row>
    <row r="150" customFormat="false" ht="15" hidden="false" customHeight="false" outlineLevel="0" collapsed="false">
      <c r="A150" s="34" t="s">
        <v>261</v>
      </c>
      <c r="B150" s="8" t="s">
        <v>82</v>
      </c>
      <c r="C150" s="43" t="s">
        <v>81</v>
      </c>
      <c r="D150" s="58" t="n">
        <v>2951138.4</v>
      </c>
      <c r="E150" s="53" t="n">
        <v>2</v>
      </c>
      <c r="F150" s="61" t="s">
        <v>58</v>
      </c>
      <c r="G150" s="8" t="s">
        <v>104</v>
      </c>
      <c r="H150" s="60" t="s">
        <v>116</v>
      </c>
      <c r="I150" s="2"/>
      <c r="J150" s="2"/>
    </row>
    <row r="151" customFormat="false" ht="15" hidden="false" customHeight="false" outlineLevel="0" collapsed="false">
      <c r="A151" s="34" t="s">
        <v>262</v>
      </c>
      <c r="B151" s="8" t="s">
        <v>82</v>
      </c>
      <c r="C151" s="43" t="s">
        <v>81</v>
      </c>
      <c r="D151" s="58" t="n">
        <v>2786784.61</v>
      </c>
      <c r="E151" s="53" t="n">
        <v>2</v>
      </c>
      <c r="F151" s="61" t="s">
        <v>58</v>
      </c>
      <c r="G151" s="8" t="s">
        <v>104</v>
      </c>
      <c r="H151" s="60" t="s">
        <v>116</v>
      </c>
      <c r="I151" s="2"/>
      <c r="J151" s="2"/>
    </row>
    <row r="152" customFormat="false" ht="15" hidden="false" customHeight="false" outlineLevel="0" collapsed="false">
      <c r="A152" s="34" t="s">
        <v>263</v>
      </c>
      <c r="B152" s="8" t="s">
        <v>82</v>
      </c>
      <c r="C152" s="43" t="s">
        <v>81</v>
      </c>
      <c r="D152" s="58" t="n">
        <v>2227461.09</v>
      </c>
      <c r="E152" s="53" t="n">
        <v>2</v>
      </c>
      <c r="F152" s="61" t="s">
        <v>58</v>
      </c>
      <c r="G152" s="8" t="s">
        <v>104</v>
      </c>
      <c r="H152" s="60" t="s">
        <v>116</v>
      </c>
      <c r="I152" s="2"/>
      <c r="J152" s="2"/>
    </row>
    <row r="153" customFormat="false" ht="15" hidden="false" customHeight="false" outlineLevel="0" collapsed="false">
      <c r="A153" s="34" t="s">
        <v>264</v>
      </c>
      <c r="B153" s="8" t="s">
        <v>82</v>
      </c>
      <c r="C153" s="43" t="s">
        <v>81</v>
      </c>
      <c r="D153" s="58" t="n">
        <v>1929272.25</v>
      </c>
      <c r="E153" s="53" t="n">
        <v>2</v>
      </c>
      <c r="F153" s="61" t="s">
        <v>58</v>
      </c>
      <c r="G153" s="8" t="s">
        <v>104</v>
      </c>
      <c r="H153" s="60" t="s">
        <v>116</v>
      </c>
      <c r="I153" s="2"/>
      <c r="J153" s="2"/>
    </row>
    <row r="154" customFormat="false" ht="15" hidden="false" customHeight="false" outlineLevel="0" collapsed="false">
      <c r="A154" s="34" t="s">
        <v>265</v>
      </c>
      <c r="B154" s="8" t="s">
        <v>82</v>
      </c>
      <c r="C154" s="43" t="s">
        <v>81</v>
      </c>
      <c r="D154" s="58" t="n">
        <v>1711038.97</v>
      </c>
      <c r="E154" s="53" t="n">
        <v>1</v>
      </c>
      <c r="F154" s="61" t="s">
        <v>58</v>
      </c>
      <c r="G154" s="8" t="s">
        <v>104</v>
      </c>
      <c r="H154" s="60" t="s">
        <v>116</v>
      </c>
      <c r="I154" s="2"/>
      <c r="J154" s="2"/>
    </row>
    <row r="155" customFormat="false" ht="15" hidden="false" customHeight="false" outlineLevel="0" collapsed="false">
      <c r="A155" s="34" t="s">
        <v>266</v>
      </c>
      <c r="B155" s="8" t="s">
        <v>82</v>
      </c>
      <c r="C155" s="43" t="s">
        <v>81</v>
      </c>
      <c r="D155" s="58" t="n">
        <v>1468683.62</v>
      </c>
      <c r="E155" s="53" t="n">
        <v>1</v>
      </c>
      <c r="F155" s="61" t="s">
        <v>58</v>
      </c>
      <c r="G155" s="8" t="s">
        <v>104</v>
      </c>
      <c r="H155" s="60" t="s">
        <v>116</v>
      </c>
      <c r="I155" s="2"/>
      <c r="J155" s="2"/>
    </row>
    <row r="156" customFormat="false" ht="15" hidden="false" customHeight="false" outlineLevel="0" collapsed="false">
      <c r="A156" s="34" t="s">
        <v>267</v>
      </c>
      <c r="B156" s="8" t="s">
        <v>82</v>
      </c>
      <c r="C156" s="43" t="s">
        <v>81</v>
      </c>
      <c r="D156" s="58" t="n">
        <v>1327307.65</v>
      </c>
      <c r="E156" s="53" t="n">
        <v>1</v>
      </c>
      <c r="F156" s="61" t="s">
        <v>58</v>
      </c>
      <c r="G156" s="8" t="s">
        <v>104</v>
      </c>
      <c r="H156" s="60" t="s">
        <v>116</v>
      </c>
      <c r="I156" s="2"/>
      <c r="J156" s="2"/>
    </row>
    <row r="157" customFormat="false" ht="15" hidden="false" customHeight="false" outlineLevel="0" collapsed="false">
      <c r="A157" s="34" t="s">
        <v>268</v>
      </c>
      <c r="B157" s="8" t="s">
        <v>80</v>
      </c>
      <c r="C157" s="43" t="s">
        <v>81</v>
      </c>
      <c r="D157" s="58" t="n">
        <v>1221186014.38</v>
      </c>
      <c r="E157" s="46" t="n">
        <v>38</v>
      </c>
      <c r="F157" s="62" t="s">
        <v>55</v>
      </c>
      <c r="G157" s="8" t="s">
        <v>98</v>
      </c>
      <c r="H157" s="60" t="s">
        <v>118</v>
      </c>
      <c r="I157" s="2"/>
      <c r="J157" s="2"/>
    </row>
    <row r="158" customFormat="false" ht="15" hidden="false" customHeight="false" outlineLevel="0" collapsed="false">
      <c r="A158" s="34" t="s">
        <v>269</v>
      </c>
      <c r="B158" s="8" t="s">
        <v>80</v>
      </c>
      <c r="C158" s="43" t="s">
        <v>81</v>
      </c>
      <c r="D158" s="58" t="n">
        <v>522809298.93</v>
      </c>
      <c r="E158" s="46" t="n">
        <v>38</v>
      </c>
      <c r="F158" s="62" t="s">
        <v>55</v>
      </c>
      <c r="G158" s="8" t="s">
        <v>98</v>
      </c>
      <c r="H158" s="60" t="s">
        <v>118</v>
      </c>
      <c r="I158" s="2"/>
      <c r="J158" s="2"/>
    </row>
    <row r="159" customFormat="false" ht="15" hidden="false" customHeight="false" outlineLevel="0" collapsed="false">
      <c r="A159" s="34" t="s">
        <v>270</v>
      </c>
      <c r="B159" s="8" t="s">
        <v>80</v>
      </c>
      <c r="C159" s="43" t="s">
        <v>81</v>
      </c>
      <c r="D159" s="58" t="n">
        <v>26980548.15</v>
      </c>
      <c r="E159" s="49" t="n">
        <v>32</v>
      </c>
      <c r="F159" s="59" t="s">
        <v>56</v>
      </c>
      <c r="G159" s="8" t="s">
        <v>100</v>
      </c>
      <c r="H159" s="60" t="s">
        <v>116</v>
      </c>
      <c r="I159" s="2"/>
      <c r="J159" s="2"/>
    </row>
    <row r="160" customFormat="false" ht="15" hidden="false" customHeight="false" outlineLevel="0" collapsed="false">
      <c r="A160" s="34" t="s">
        <v>271</v>
      </c>
      <c r="B160" s="8" t="s">
        <v>80</v>
      </c>
      <c r="C160" s="43" t="s">
        <v>81</v>
      </c>
      <c r="D160" s="58" t="n">
        <v>10758308.45</v>
      </c>
      <c r="E160" s="51" t="n">
        <v>20</v>
      </c>
      <c r="F160" s="21" t="s">
        <v>57</v>
      </c>
      <c r="G160" s="8" t="s">
        <v>102</v>
      </c>
      <c r="H160" s="60" t="s">
        <v>116</v>
      </c>
      <c r="I160" s="2"/>
      <c r="J160" s="2"/>
    </row>
    <row r="161" customFormat="false" ht="15" hidden="false" customHeight="false" outlineLevel="0" collapsed="false">
      <c r="A161" s="34" t="s">
        <v>272</v>
      </c>
      <c r="B161" s="8" t="s">
        <v>80</v>
      </c>
      <c r="C161" s="43" t="s">
        <v>81</v>
      </c>
      <c r="D161" s="58" t="n">
        <v>8347765.47</v>
      </c>
      <c r="E161" s="51" t="n">
        <v>18</v>
      </c>
      <c r="F161" s="21" t="s">
        <v>57</v>
      </c>
      <c r="G161" s="8" t="s">
        <v>102</v>
      </c>
      <c r="H161" s="60" t="s">
        <v>116</v>
      </c>
      <c r="I161" s="2"/>
      <c r="J161" s="2"/>
    </row>
    <row r="162" customFormat="false" ht="15" hidden="false" customHeight="false" outlineLevel="0" collapsed="false">
      <c r="A162" s="34" t="s">
        <v>273</v>
      </c>
      <c r="B162" s="8" t="s">
        <v>80</v>
      </c>
      <c r="C162" s="43" t="s">
        <v>81</v>
      </c>
      <c r="D162" s="58" t="n">
        <v>4482601.11</v>
      </c>
      <c r="E162" s="53" t="n">
        <v>13</v>
      </c>
      <c r="F162" s="61" t="s">
        <v>58</v>
      </c>
      <c r="G162" s="8" t="s">
        <v>104</v>
      </c>
      <c r="H162" s="60" t="s">
        <v>116</v>
      </c>
      <c r="I162" s="2"/>
      <c r="J162" s="2"/>
    </row>
    <row r="163" customFormat="false" ht="15" hidden="false" customHeight="false" outlineLevel="0" collapsed="false">
      <c r="A163" s="34" t="s">
        <v>274</v>
      </c>
      <c r="B163" s="8" t="s">
        <v>80</v>
      </c>
      <c r="C163" s="43" t="s">
        <v>81</v>
      </c>
      <c r="D163" s="58" t="n">
        <v>4244917.85</v>
      </c>
      <c r="E163" s="53" t="n">
        <v>13</v>
      </c>
      <c r="F163" s="61" t="s">
        <v>58</v>
      </c>
      <c r="G163" s="8" t="s">
        <v>104</v>
      </c>
      <c r="H163" s="60" t="s">
        <v>116</v>
      </c>
      <c r="I163" s="2"/>
      <c r="J163" s="2"/>
    </row>
    <row r="164" customFormat="false" ht="15" hidden="false" customHeight="false" outlineLevel="0" collapsed="false">
      <c r="A164" s="34" t="s">
        <v>275</v>
      </c>
      <c r="B164" s="8" t="s">
        <v>80</v>
      </c>
      <c r="C164" s="43" t="s">
        <v>81</v>
      </c>
      <c r="D164" s="58" t="n">
        <v>4195196.85</v>
      </c>
      <c r="E164" s="53" t="n">
        <v>13</v>
      </c>
      <c r="F164" s="61" t="s">
        <v>58</v>
      </c>
      <c r="G164" s="8" t="s">
        <v>104</v>
      </c>
      <c r="H164" s="60" t="s">
        <v>116</v>
      </c>
      <c r="I164" s="2"/>
      <c r="J164" s="2"/>
    </row>
    <row r="165" customFormat="false" ht="15" hidden="false" customHeight="false" outlineLevel="0" collapsed="false">
      <c r="A165" s="34" t="s">
        <v>276</v>
      </c>
      <c r="B165" s="8" t="s">
        <v>80</v>
      </c>
      <c r="C165" s="43" t="s">
        <v>81</v>
      </c>
      <c r="D165" s="58" t="n">
        <v>3662694.08</v>
      </c>
      <c r="E165" s="53" t="n">
        <v>12</v>
      </c>
      <c r="F165" s="61" t="s">
        <v>58</v>
      </c>
      <c r="G165" s="8" t="s">
        <v>104</v>
      </c>
      <c r="H165" s="60" t="s">
        <v>116</v>
      </c>
      <c r="I165" s="2"/>
      <c r="J165" s="2"/>
    </row>
    <row r="166" customFormat="false" ht="15" hidden="false" customHeight="false" outlineLevel="0" collapsed="false">
      <c r="A166" s="34" t="s">
        <v>277</v>
      </c>
      <c r="B166" s="8" t="s">
        <v>80</v>
      </c>
      <c r="C166" s="43" t="s">
        <v>81</v>
      </c>
      <c r="D166" s="58" t="n">
        <v>3359574.65</v>
      </c>
      <c r="E166" s="53" t="n">
        <v>11</v>
      </c>
      <c r="F166" s="61" t="s">
        <v>58</v>
      </c>
      <c r="G166" s="8" t="s">
        <v>104</v>
      </c>
      <c r="H166" s="60" t="s">
        <v>116</v>
      </c>
      <c r="I166" s="2"/>
      <c r="J166" s="2"/>
    </row>
    <row r="167" customFormat="false" ht="15" hidden="false" customHeight="false" outlineLevel="0" collapsed="false">
      <c r="A167" s="34" t="s">
        <v>278</v>
      </c>
      <c r="B167" s="8" t="s">
        <v>80</v>
      </c>
      <c r="C167" s="43" t="s">
        <v>81</v>
      </c>
      <c r="D167" s="58" t="n">
        <v>3246110.73</v>
      </c>
      <c r="E167" s="53" t="n">
        <v>11</v>
      </c>
      <c r="F167" s="61" t="s">
        <v>58</v>
      </c>
      <c r="G167" s="8" t="s">
        <v>104</v>
      </c>
      <c r="H167" s="60" t="s">
        <v>116</v>
      </c>
      <c r="I167" s="2"/>
      <c r="J167" s="2"/>
    </row>
    <row r="168" customFormat="false" ht="15" hidden="false" customHeight="false" outlineLevel="0" collapsed="false">
      <c r="A168" s="34" t="s">
        <v>279</v>
      </c>
      <c r="B168" s="8" t="s">
        <v>80</v>
      </c>
      <c r="C168" s="43" t="s">
        <v>81</v>
      </c>
      <c r="D168" s="58" t="n">
        <v>3153380.8</v>
      </c>
      <c r="E168" s="53" t="n">
        <v>11</v>
      </c>
      <c r="F168" s="61" t="s">
        <v>58</v>
      </c>
      <c r="G168" s="8" t="s">
        <v>104</v>
      </c>
      <c r="H168" s="60" t="s">
        <v>116</v>
      </c>
      <c r="I168" s="2"/>
      <c r="J168" s="2"/>
    </row>
    <row r="169" customFormat="false" ht="15" hidden="false" customHeight="false" outlineLevel="0" collapsed="false">
      <c r="A169" s="34" t="s">
        <v>280</v>
      </c>
      <c r="B169" s="8" t="s">
        <v>80</v>
      </c>
      <c r="C169" s="43" t="s">
        <v>81</v>
      </c>
      <c r="D169" s="58" t="n">
        <v>3047674.73</v>
      </c>
      <c r="E169" s="53" t="n">
        <v>11</v>
      </c>
      <c r="F169" s="61" t="s">
        <v>58</v>
      </c>
      <c r="G169" s="8" t="s">
        <v>104</v>
      </c>
      <c r="H169" s="60" t="s">
        <v>116</v>
      </c>
      <c r="I169" s="2"/>
      <c r="J169" s="2"/>
    </row>
    <row r="170" customFormat="false" ht="15" hidden="false" customHeight="false" outlineLevel="0" collapsed="false">
      <c r="A170" s="34" t="s">
        <v>281</v>
      </c>
      <c r="B170" s="8" t="s">
        <v>80</v>
      </c>
      <c r="C170" s="43" t="s">
        <v>81</v>
      </c>
      <c r="D170" s="58" t="n">
        <v>3023466.83</v>
      </c>
      <c r="E170" s="53" t="n">
        <v>11</v>
      </c>
      <c r="F170" s="61" t="s">
        <v>58</v>
      </c>
      <c r="G170" s="8" t="s">
        <v>104</v>
      </c>
      <c r="H170" s="60" t="s">
        <v>116</v>
      </c>
      <c r="I170" s="2"/>
      <c r="J170" s="2"/>
    </row>
    <row r="171" customFormat="false" ht="15" hidden="false" customHeight="false" outlineLevel="0" collapsed="false">
      <c r="A171" s="34" t="s">
        <v>282</v>
      </c>
      <c r="B171" s="8" t="s">
        <v>86</v>
      </c>
      <c r="C171" s="44" t="s">
        <v>87</v>
      </c>
      <c r="D171" s="58" t="n">
        <v>85172652.4</v>
      </c>
      <c r="E171" s="46" t="n">
        <v>10</v>
      </c>
      <c r="F171" s="62" t="s">
        <v>55</v>
      </c>
      <c r="G171" s="8" t="s">
        <v>98</v>
      </c>
      <c r="H171" s="60" t="s">
        <v>118</v>
      </c>
      <c r="I171" s="2"/>
      <c r="J171" s="2"/>
    </row>
    <row r="172" customFormat="false" ht="15" hidden="false" customHeight="false" outlineLevel="0" collapsed="false">
      <c r="A172" s="34" t="s">
        <v>283</v>
      </c>
      <c r="B172" s="8" t="s">
        <v>86</v>
      </c>
      <c r="C172" s="44" t="s">
        <v>87</v>
      </c>
      <c r="D172" s="58" t="n">
        <v>73654468.06</v>
      </c>
      <c r="E172" s="49" t="n">
        <v>10</v>
      </c>
      <c r="F172" s="59" t="s">
        <v>56</v>
      </c>
      <c r="G172" s="8" t="s">
        <v>100</v>
      </c>
      <c r="H172" s="60" t="s">
        <v>118</v>
      </c>
      <c r="I172" s="2"/>
      <c r="J172" s="2"/>
    </row>
    <row r="173" customFormat="false" ht="15" hidden="false" customHeight="false" outlineLevel="0" collapsed="false">
      <c r="A173" s="34" t="s">
        <v>284</v>
      </c>
      <c r="B173" s="8" t="s">
        <v>86</v>
      </c>
      <c r="C173" s="44" t="s">
        <v>87</v>
      </c>
      <c r="D173" s="58" t="n">
        <v>10333166.53</v>
      </c>
      <c r="E173" s="51" t="n">
        <v>8</v>
      </c>
      <c r="F173" s="21" t="s">
        <v>57</v>
      </c>
      <c r="G173" s="8" t="s">
        <v>102</v>
      </c>
      <c r="H173" s="60" t="s">
        <v>116</v>
      </c>
      <c r="I173" s="2"/>
      <c r="J173" s="2"/>
    </row>
    <row r="174" customFormat="false" ht="15" hidden="false" customHeight="false" outlineLevel="0" collapsed="false">
      <c r="A174" s="34" t="s">
        <v>285</v>
      </c>
      <c r="B174" s="8" t="s">
        <v>86</v>
      </c>
      <c r="C174" s="44" t="s">
        <v>87</v>
      </c>
      <c r="D174" s="58" t="n">
        <v>9080776.88</v>
      </c>
      <c r="E174" s="51" t="n">
        <v>7</v>
      </c>
      <c r="F174" s="21" t="s">
        <v>57</v>
      </c>
      <c r="G174" s="8" t="s">
        <v>102</v>
      </c>
      <c r="H174" s="60" t="s">
        <v>116</v>
      </c>
      <c r="I174" s="2"/>
      <c r="J174" s="2"/>
    </row>
    <row r="175" customFormat="false" ht="15" hidden="false" customHeight="false" outlineLevel="0" collapsed="false">
      <c r="A175" s="34" t="s">
        <v>286</v>
      </c>
      <c r="B175" s="8" t="s">
        <v>86</v>
      </c>
      <c r="C175" s="44" t="s">
        <v>87</v>
      </c>
      <c r="D175" s="58" t="n">
        <v>6461561.42</v>
      </c>
      <c r="E175" s="51" t="n">
        <v>6</v>
      </c>
      <c r="F175" s="21" t="s">
        <v>57</v>
      </c>
      <c r="G175" s="8" t="s">
        <v>102</v>
      </c>
      <c r="H175" s="60" t="s">
        <v>116</v>
      </c>
      <c r="I175" s="2"/>
      <c r="J175" s="2"/>
    </row>
    <row r="176" customFormat="false" ht="15" hidden="false" customHeight="false" outlineLevel="0" collapsed="false">
      <c r="A176" s="34" t="s">
        <v>287</v>
      </c>
      <c r="B176" s="8" t="s">
        <v>86</v>
      </c>
      <c r="C176" s="44" t="s">
        <v>87</v>
      </c>
      <c r="D176" s="58" t="n">
        <v>4738809.21</v>
      </c>
      <c r="E176" s="53" t="n">
        <v>5</v>
      </c>
      <c r="F176" s="61" t="s">
        <v>58</v>
      </c>
      <c r="G176" s="8" t="s">
        <v>104</v>
      </c>
      <c r="H176" s="60" t="s">
        <v>116</v>
      </c>
      <c r="I176" s="2"/>
      <c r="J176" s="2"/>
    </row>
    <row r="177" customFormat="false" ht="15" hidden="false" customHeight="false" outlineLevel="0" collapsed="false">
      <c r="A177" s="34" t="s">
        <v>288</v>
      </c>
      <c r="B177" s="8" t="s">
        <v>86</v>
      </c>
      <c r="C177" s="44" t="s">
        <v>87</v>
      </c>
      <c r="D177" s="58" t="n">
        <v>4041430.05</v>
      </c>
      <c r="E177" s="53" t="n">
        <v>5</v>
      </c>
      <c r="F177" s="61" t="s">
        <v>58</v>
      </c>
      <c r="G177" s="8" t="s">
        <v>104</v>
      </c>
      <c r="H177" s="60" t="s">
        <v>116</v>
      </c>
      <c r="I177" s="2"/>
      <c r="J177" s="2"/>
    </row>
    <row r="178" customFormat="false" ht="15" hidden="false" customHeight="false" outlineLevel="0" collapsed="false">
      <c r="A178" s="34" t="s">
        <v>289</v>
      </c>
      <c r="B178" s="8" t="s">
        <v>86</v>
      </c>
      <c r="C178" s="44" t="s">
        <v>87</v>
      </c>
      <c r="D178" s="58" t="n">
        <v>3941551.65</v>
      </c>
      <c r="E178" s="53" t="n">
        <v>5</v>
      </c>
      <c r="F178" s="61" t="s">
        <v>58</v>
      </c>
      <c r="G178" s="8" t="s">
        <v>104</v>
      </c>
      <c r="H178" s="60" t="s">
        <v>116</v>
      </c>
      <c r="I178" s="2"/>
      <c r="J178" s="2"/>
    </row>
    <row r="179" customFormat="false" ht="15" hidden="false" customHeight="false" outlineLevel="0" collapsed="false">
      <c r="A179" s="34" t="s">
        <v>290</v>
      </c>
      <c r="B179" s="8" t="s">
        <v>86</v>
      </c>
      <c r="C179" s="44" t="s">
        <v>87</v>
      </c>
      <c r="D179" s="58" t="n">
        <v>2875700.37</v>
      </c>
      <c r="E179" s="53" t="n">
        <v>4</v>
      </c>
      <c r="F179" s="61" t="s">
        <v>58</v>
      </c>
      <c r="G179" s="8" t="s">
        <v>104</v>
      </c>
      <c r="H179" s="60" t="s">
        <v>116</v>
      </c>
      <c r="I179" s="2"/>
      <c r="J179" s="2"/>
    </row>
    <row r="180" customFormat="false" ht="15" hidden="false" customHeight="false" outlineLevel="0" collapsed="false">
      <c r="A180" s="34" t="s">
        <v>291</v>
      </c>
      <c r="B180" s="8" t="s">
        <v>86</v>
      </c>
      <c r="C180" s="44" t="s">
        <v>87</v>
      </c>
      <c r="D180" s="58" t="n">
        <v>2486308.99</v>
      </c>
      <c r="E180" s="53" t="n">
        <v>4</v>
      </c>
      <c r="F180" s="61" t="s">
        <v>58</v>
      </c>
      <c r="G180" s="8" t="s">
        <v>104</v>
      </c>
      <c r="H180" s="60" t="s">
        <v>116</v>
      </c>
      <c r="I180" s="2"/>
      <c r="J180" s="2"/>
    </row>
    <row r="181" customFormat="false" ht="15" hidden="false" customHeight="false" outlineLevel="0" collapsed="false">
      <c r="A181" s="34" t="s">
        <v>292</v>
      </c>
      <c r="B181" s="8" t="s">
        <v>90</v>
      </c>
      <c r="C181" s="44" t="s">
        <v>87</v>
      </c>
      <c r="D181" s="58" t="n">
        <v>277105167.68</v>
      </c>
      <c r="E181" s="46" t="n">
        <v>6</v>
      </c>
      <c r="F181" s="62" t="s">
        <v>55</v>
      </c>
      <c r="G181" s="8" t="s">
        <v>98</v>
      </c>
      <c r="H181" s="60" t="s">
        <v>116</v>
      </c>
      <c r="I181" s="2"/>
      <c r="J181" s="2"/>
    </row>
    <row r="182" customFormat="false" ht="15" hidden="false" customHeight="false" outlineLevel="0" collapsed="false">
      <c r="A182" s="34" t="s">
        <v>293</v>
      </c>
      <c r="B182" s="8" t="s">
        <v>90</v>
      </c>
      <c r="C182" s="44" t="s">
        <v>87</v>
      </c>
      <c r="D182" s="58" t="n">
        <v>6949206.38</v>
      </c>
      <c r="E182" s="51" t="n">
        <v>4</v>
      </c>
      <c r="F182" s="21" t="s">
        <v>57</v>
      </c>
      <c r="G182" s="8" t="s">
        <v>102</v>
      </c>
      <c r="H182" s="60" t="s">
        <v>116</v>
      </c>
      <c r="I182" s="2"/>
      <c r="J182" s="2"/>
    </row>
    <row r="183" customFormat="false" ht="15" hidden="false" customHeight="false" outlineLevel="0" collapsed="false">
      <c r="A183" s="34" t="s">
        <v>294</v>
      </c>
      <c r="B183" s="8" t="s">
        <v>90</v>
      </c>
      <c r="C183" s="44" t="s">
        <v>87</v>
      </c>
      <c r="D183" s="58" t="n">
        <v>5375970.82</v>
      </c>
      <c r="E183" s="51" t="n">
        <v>4</v>
      </c>
      <c r="F183" s="21" t="s">
        <v>57</v>
      </c>
      <c r="G183" s="8" t="s">
        <v>102</v>
      </c>
      <c r="H183" s="60" t="s">
        <v>116</v>
      </c>
      <c r="I183" s="2"/>
      <c r="J183" s="2"/>
    </row>
    <row r="184" customFormat="false" ht="15" hidden="false" customHeight="false" outlineLevel="0" collapsed="false">
      <c r="A184" s="34" t="s">
        <v>295</v>
      </c>
      <c r="B184" s="8" t="s">
        <v>90</v>
      </c>
      <c r="C184" s="44" t="s">
        <v>87</v>
      </c>
      <c r="D184" s="58" t="n">
        <v>5109649.25</v>
      </c>
      <c r="E184" s="51" t="n">
        <v>3</v>
      </c>
      <c r="F184" s="21" t="s">
        <v>57</v>
      </c>
      <c r="G184" s="8" t="s">
        <v>102</v>
      </c>
      <c r="H184" s="60" t="s">
        <v>116</v>
      </c>
      <c r="I184" s="2"/>
      <c r="J184" s="2"/>
    </row>
    <row r="185" customFormat="false" ht="15" hidden="false" customHeight="false" outlineLevel="0" collapsed="false">
      <c r="A185" s="34" t="s">
        <v>296</v>
      </c>
      <c r="B185" s="8" t="s">
        <v>90</v>
      </c>
      <c r="C185" s="44" t="s">
        <v>87</v>
      </c>
      <c r="D185" s="58" t="n">
        <v>3538983.93</v>
      </c>
      <c r="E185" s="53" t="n">
        <v>3</v>
      </c>
      <c r="F185" s="61" t="s">
        <v>58</v>
      </c>
      <c r="G185" s="8" t="s">
        <v>104</v>
      </c>
      <c r="H185" s="60" t="s">
        <v>116</v>
      </c>
      <c r="I185" s="2"/>
      <c r="J185" s="2"/>
    </row>
    <row r="186" customFormat="false" ht="15" hidden="false" customHeight="false" outlineLevel="0" collapsed="false">
      <c r="A186" s="34" t="s">
        <v>297</v>
      </c>
      <c r="B186" s="8" t="s">
        <v>90</v>
      </c>
      <c r="C186" s="44" t="s">
        <v>87</v>
      </c>
      <c r="D186" s="58" t="n">
        <v>2811429.44</v>
      </c>
      <c r="E186" s="53" t="n">
        <v>3</v>
      </c>
      <c r="F186" s="61" t="s">
        <v>58</v>
      </c>
      <c r="G186" s="8" t="s">
        <v>104</v>
      </c>
      <c r="H186" s="60" t="s">
        <v>116</v>
      </c>
      <c r="I186" s="2"/>
      <c r="J186" s="2"/>
    </row>
    <row r="187" customFormat="false" ht="15" hidden="false" customHeight="false" outlineLevel="0" collapsed="false">
      <c r="A187" s="34" t="s">
        <v>298</v>
      </c>
      <c r="B187" s="8" t="s">
        <v>90</v>
      </c>
      <c r="C187" s="44" t="s">
        <v>87</v>
      </c>
      <c r="D187" s="58" t="n">
        <v>2636719.1</v>
      </c>
      <c r="E187" s="53" t="n">
        <v>2</v>
      </c>
      <c r="F187" s="61" t="s">
        <v>58</v>
      </c>
      <c r="G187" s="8" t="s">
        <v>104</v>
      </c>
      <c r="H187" s="60" t="s">
        <v>116</v>
      </c>
      <c r="I187" s="2"/>
      <c r="J187" s="2"/>
    </row>
    <row r="188" customFormat="false" ht="15" hidden="false" customHeight="false" outlineLevel="0" collapsed="false">
      <c r="A188" s="34" t="s">
        <v>299</v>
      </c>
      <c r="B188" s="8" t="s">
        <v>90</v>
      </c>
      <c r="C188" s="44" t="s">
        <v>87</v>
      </c>
      <c r="D188" s="58" t="n">
        <v>2540956.49</v>
      </c>
      <c r="E188" s="53" t="n">
        <v>2</v>
      </c>
      <c r="F188" s="61" t="s">
        <v>58</v>
      </c>
      <c r="G188" s="8" t="s">
        <v>104</v>
      </c>
      <c r="H188" s="60" t="s">
        <v>116</v>
      </c>
      <c r="I188" s="2"/>
      <c r="J188" s="2"/>
    </row>
    <row r="189" customFormat="false" ht="15" hidden="false" customHeight="false" outlineLevel="0" collapsed="false">
      <c r="A189" s="34" t="s">
        <v>300</v>
      </c>
      <c r="B189" s="8" t="s">
        <v>90</v>
      </c>
      <c r="C189" s="44" t="s">
        <v>87</v>
      </c>
      <c r="D189" s="58" t="n">
        <v>2333083.42</v>
      </c>
      <c r="E189" s="53" t="n">
        <v>2</v>
      </c>
      <c r="F189" s="61" t="s">
        <v>58</v>
      </c>
      <c r="G189" s="8" t="s">
        <v>104</v>
      </c>
      <c r="H189" s="60" t="s">
        <v>116</v>
      </c>
      <c r="I189" s="2"/>
      <c r="J189" s="2"/>
    </row>
    <row r="190" customFormat="false" ht="15" hidden="false" customHeight="false" outlineLevel="0" collapsed="false">
      <c r="A190" s="34" t="s">
        <v>301</v>
      </c>
      <c r="B190" s="8" t="s">
        <v>90</v>
      </c>
      <c r="C190" s="44" t="s">
        <v>87</v>
      </c>
      <c r="D190" s="58" t="n">
        <v>2183184.14</v>
      </c>
      <c r="E190" s="53" t="n">
        <v>2</v>
      </c>
      <c r="F190" s="61" t="s">
        <v>58</v>
      </c>
      <c r="G190" s="8" t="s">
        <v>104</v>
      </c>
      <c r="H190" s="60" t="s">
        <v>116</v>
      </c>
      <c r="I190" s="2"/>
      <c r="J190" s="2"/>
    </row>
    <row r="191" customFormat="false" ht="15" hidden="false" customHeight="false" outlineLevel="0" collapsed="false">
      <c r="A191" s="34" t="s">
        <v>302</v>
      </c>
      <c r="B191" s="8" t="s">
        <v>90</v>
      </c>
      <c r="C191" s="44" t="s">
        <v>87</v>
      </c>
      <c r="D191" s="58" t="n">
        <v>1871884.67</v>
      </c>
      <c r="E191" s="53" t="n">
        <v>2</v>
      </c>
      <c r="F191" s="61" t="s">
        <v>58</v>
      </c>
      <c r="G191" s="8" t="s">
        <v>104</v>
      </c>
      <c r="H191" s="60" t="s">
        <v>116</v>
      </c>
      <c r="I191" s="2"/>
      <c r="J191" s="2"/>
    </row>
    <row r="192" customFormat="false" ht="15" hidden="false" customHeight="false" outlineLevel="0" collapsed="false">
      <c r="A192" s="34" t="s">
        <v>303</v>
      </c>
      <c r="B192" s="8" t="s">
        <v>88</v>
      </c>
      <c r="C192" s="44" t="s">
        <v>87</v>
      </c>
      <c r="D192" s="58" t="n">
        <v>81072332.63</v>
      </c>
      <c r="E192" s="49" t="n">
        <v>12</v>
      </c>
      <c r="F192" s="59" t="s">
        <v>56</v>
      </c>
      <c r="G192" s="8" t="s">
        <v>100</v>
      </c>
      <c r="H192" s="60" t="s">
        <v>116</v>
      </c>
      <c r="I192" s="2"/>
      <c r="J192" s="2"/>
    </row>
    <row r="193" customFormat="false" ht="15" hidden="false" customHeight="false" outlineLevel="0" collapsed="false">
      <c r="A193" s="34" t="s">
        <v>304</v>
      </c>
      <c r="B193" s="8" t="s">
        <v>88</v>
      </c>
      <c r="C193" s="44" t="s">
        <v>87</v>
      </c>
      <c r="D193" s="58" t="n">
        <v>23544911.36</v>
      </c>
      <c r="E193" s="49" t="n">
        <v>9</v>
      </c>
      <c r="F193" s="59" t="s">
        <v>56</v>
      </c>
      <c r="G193" s="8" t="s">
        <v>100</v>
      </c>
      <c r="H193" s="60" t="s">
        <v>116</v>
      </c>
      <c r="I193" s="2"/>
      <c r="J193" s="2"/>
    </row>
    <row r="194" customFormat="false" ht="15" hidden="false" customHeight="false" outlineLevel="0" collapsed="false">
      <c r="A194" s="34" t="s">
        <v>305</v>
      </c>
      <c r="B194" s="8" t="s">
        <v>88</v>
      </c>
      <c r="C194" s="44" t="s">
        <v>87</v>
      </c>
      <c r="D194" s="58" t="n">
        <v>2522973.43</v>
      </c>
      <c r="E194" s="53" t="n">
        <v>5</v>
      </c>
      <c r="F194" s="61" t="s">
        <v>58</v>
      </c>
      <c r="G194" s="8" t="s">
        <v>104</v>
      </c>
      <c r="H194" s="60" t="s">
        <v>118</v>
      </c>
      <c r="I194" s="2"/>
      <c r="J194" s="2"/>
    </row>
    <row r="195" customFormat="false" ht="15" hidden="false" customHeight="false" outlineLevel="0" collapsed="false">
      <c r="A195" s="34" t="s">
        <v>306</v>
      </c>
      <c r="B195" s="8" t="s">
        <v>88</v>
      </c>
      <c r="C195" s="44" t="s">
        <v>87</v>
      </c>
      <c r="D195" s="58" t="n">
        <v>1817522.11</v>
      </c>
      <c r="E195" s="53" t="n">
        <v>5</v>
      </c>
      <c r="F195" s="61" t="s">
        <v>58</v>
      </c>
      <c r="G195" s="8" t="s">
        <v>104</v>
      </c>
      <c r="H195" s="60" t="s">
        <v>118</v>
      </c>
      <c r="I195" s="2"/>
      <c r="J195" s="2"/>
    </row>
    <row r="196" customFormat="false" ht="15" hidden="false" customHeight="false" outlineLevel="0" collapsed="false">
      <c r="A196" s="34" t="s">
        <v>307</v>
      </c>
      <c r="B196" s="8" t="s">
        <v>88</v>
      </c>
      <c r="C196" s="44" t="s">
        <v>87</v>
      </c>
      <c r="D196" s="58" t="n">
        <v>1381770.79</v>
      </c>
      <c r="E196" s="53" t="n">
        <v>5</v>
      </c>
      <c r="F196" s="61" t="s">
        <v>58</v>
      </c>
      <c r="G196" s="8" t="s">
        <v>104</v>
      </c>
      <c r="H196" s="60" t="s">
        <v>118</v>
      </c>
      <c r="I196" s="2"/>
      <c r="J196" s="2"/>
    </row>
    <row r="197" customFormat="false" ht="15" hidden="false" customHeight="false" outlineLevel="0" collapsed="false">
      <c r="A197" s="34" t="s">
        <v>308</v>
      </c>
      <c r="B197" s="8" t="s">
        <v>89</v>
      </c>
      <c r="C197" s="44" t="s">
        <v>87</v>
      </c>
      <c r="D197" s="58" t="n">
        <v>6862097.68</v>
      </c>
      <c r="E197" s="51" t="n">
        <v>5</v>
      </c>
      <c r="F197" s="21" t="s">
        <v>57</v>
      </c>
      <c r="G197" s="8" t="s">
        <v>102</v>
      </c>
      <c r="H197" s="60" t="s">
        <v>118</v>
      </c>
      <c r="I197" s="2"/>
      <c r="J197" s="2"/>
    </row>
    <row r="198" customFormat="false" ht="15" hidden="false" customHeight="false" outlineLevel="0" collapsed="false">
      <c r="A198" s="34" t="s">
        <v>309</v>
      </c>
      <c r="B198" s="8" t="s">
        <v>89</v>
      </c>
      <c r="C198" s="44" t="s">
        <v>87</v>
      </c>
      <c r="D198" s="58" t="n">
        <v>5459467.1</v>
      </c>
      <c r="E198" s="51" t="n">
        <v>5</v>
      </c>
      <c r="F198" s="21" t="s">
        <v>57</v>
      </c>
      <c r="G198" s="8" t="s">
        <v>102</v>
      </c>
      <c r="H198" s="60" t="s">
        <v>118</v>
      </c>
      <c r="I198" s="2"/>
      <c r="J198" s="2"/>
    </row>
    <row r="199" customFormat="false" ht="15" hidden="false" customHeight="false" outlineLevel="0" collapsed="false">
      <c r="A199" s="34" t="s">
        <v>310</v>
      </c>
      <c r="B199" s="8" t="s">
        <v>89</v>
      </c>
      <c r="C199" s="44" t="s">
        <v>87</v>
      </c>
      <c r="D199" s="58" t="n">
        <v>33051460.08</v>
      </c>
      <c r="E199" s="49" t="n">
        <v>4</v>
      </c>
      <c r="F199" s="59" t="s">
        <v>56</v>
      </c>
      <c r="G199" s="8" t="s">
        <v>100</v>
      </c>
      <c r="H199" s="60" t="s">
        <v>116</v>
      </c>
      <c r="I199" s="2"/>
      <c r="J199" s="2"/>
    </row>
    <row r="200" customFormat="false" ht="15" hidden="false" customHeight="false" outlineLevel="0" collapsed="false">
      <c r="A200" s="34" t="s">
        <v>311</v>
      </c>
      <c r="B200" s="8" t="s">
        <v>89</v>
      </c>
      <c r="C200" s="44" t="s">
        <v>87</v>
      </c>
      <c r="D200" s="58" t="n">
        <v>3302639.85</v>
      </c>
      <c r="E200" s="53" t="n">
        <v>4</v>
      </c>
      <c r="F200" s="61" t="s">
        <v>58</v>
      </c>
      <c r="G200" s="8" t="s">
        <v>104</v>
      </c>
      <c r="H200" s="60" t="s">
        <v>116</v>
      </c>
      <c r="I200" s="2"/>
      <c r="J200" s="2"/>
    </row>
    <row r="201" customFormat="false" ht="15" hidden="false" customHeight="false" outlineLevel="0" collapsed="false">
      <c r="A201" s="34" t="s">
        <v>312</v>
      </c>
      <c r="B201" s="8" t="s">
        <v>89</v>
      </c>
      <c r="C201" s="44" t="s">
        <v>87</v>
      </c>
      <c r="D201" s="58" t="n">
        <v>3042154.51</v>
      </c>
      <c r="E201" s="53" t="n">
        <v>4</v>
      </c>
      <c r="F201" s="61" t="s">
        <v>58</v>
      </c>
      <c r="G201" s="8" t="s">
        <v>104</v>
      </c>
      <c r="H201" s="60" t="s">
        <v>116</v>
      </c>
      <c r="I201" s="2"/>
      <c r="J201" s="2"/>
    </row>
    <row r="202" customFormat="false" ht="15" hidden="false" customHeight="false" outlineLevel="0" collapsed="false">
      <c r="A202" s="34" t="s">
        <v>313</v>
      </c>
      <c r="B202" s="8" t="s">
        <v>89</v>
      </c>
      <c r="C202" s="44" t="s">
        <v>87</v>
      </c>
      <c r="D202" s="58" t="n">
        <v>2595126.03</v>
      </c>
      <c r="E202" s="53" t="n">
        <v>3</v>
      </c>
      <c r="F202" s="61" t="s">
        <v>58</v>
      </c>
      <c r="G202" s="8" t="s">
        <v>104</v>
      </c>
      <c r="H202" s="60" t="s">
        <v>116</v>
      </c>
      <c r="I202" s="2"/>
      <c r="J202" s="2"/>
    </row>
    <row r="203" customFormat="false" ht="15" hidden="false" customHeight="false" outlineLevel="0" collapsed="false">
      <c r="A203" s="34" t="s">
        <v>314</v>
      </c>
      <c r="B203" s="8" t="s">
        <v>89</v>
      </c>
      <c r="C203" s="44" t="s">
        <v>87</v>
      </c>
      <c r="D203" s="58" t="n">
        <v>1887962.45</v>
      </c>
      <c r="E203" s="53" t="n">
        <v>3</v>
      </c>
      <c r="F203" s="61" t="s">
        <v>58</v>
      </c>
      <c r="G203" s="8" t="s">
        <v>104</v>
      </c>
      <c r="H203" s="60" t="s">
        <v>116</v>
      </c>
      <c r="I203" s="2"/>
      <c r="J203" s="2"/>
    </row>
    <row r="204" customFormat="false" ht="15" hidden="false" customHeight="false" outlineLevel="0" collapsed="false">
      <c r="A204" s="34" t="s">
        <v>315</v>
      </c>
      <c r="B204" s="8" t="s">
        <v>89</v>
      </c>
      <c r="C204" s="44" t="s">
        <v>87</v>
      </c>
      <c r="D204" s="58" t="n">
        <v>1730981.42</v>
      </c>
      <c r="E204" s="53" t="n">
        <v>3</v>
      </c>
      <c r="F204" s="61" t="s">
        <v>58</v>
      </c>
      <c r="G204" s="8" t="s">
        <v>104</v>
      </c>
      <c r="H204" s="60" t="s">
        <v>116</v>
      </c>
      <c r="I204" s="2"/>
      <c r="J204" s="2"/>
    </row>
    <row r="205" customFormat="false" ht="15" hidden="false" customHeight="false" outlineLevel="0" collapsed="false">
      <c r="A205" s="34" t="s">
        <v>316</v>
      </c>
      <c r="B205" s="8" t="s">
        <v>89</v>
      </c>
      <c r="C205" s="44" t="s">
        <v>87</v>
      </c>
      <c r="D205" s="58" t="n">
        <v>1709951.1</v>
      </c>
      <c r="E205" s="53" t="n">
        <v>3</v>
      </c>
      <c r="F205" s="61" t="s">
        <v>58</v>
      </c>
      <c r="G205" s="8" t="s">
        <v>104</v>
      </c>
      <c r="H205" s="60" t="s">
        <v>116</v>
      </c>
      <c r="I205" s="2"/>
      <c r="J205" s="2"/>
    </row>
    <row r="206" customFormat="false" ht="15" hidden="false" customHeight="false" outlineLevel="0" collapsed="false">
      <c r="A206" s="34" t="s">
        <v>317</v>
      </c>
      <c r="B206" s="8" t="s">
        <v>91</v>
      </c>
      <c r="C206" s="44" t="s">
        <v>87</v>
      </c>
      <c r="D206" s="58" t="n">
        <v>11396028.49</v>
      </c>
      <c r="E206" s="51" t="n">
        <v>3</v>
      </c>
      <c r="F206" s="21" t="s">
        <v>57</v>
      </c>
      <c r="G206" s="8" t="s">
        <v>102</v>
      </c>
      <c r="H206" s="60" t="s">
        <v>116</v>
      </c>
      <c r="I206" s="2"/>
      <c r="J206" s="2"/>
    </row>
    <row r="207" customFormat="false" ht="15" hidden="false" customHeight="false" outlineLevel="0" collapsed="false">
      <c r="A207" s="34" t="s">
        <v>318</v>
      </c>
      <c r="B207" s="8" t="s">
        <v>91</v>
      </c>
      <c r="C207" s="44" t="s">
        <v>87</v>
      </c>
      <c r="D207" s="58" t="n">
        <v>10624834.72</v>
      </c>
      <c r="E207" s="51" t="n">
        <v>2</v>
      </c>
      <c r="F207" s="21" t="s">
        <v>57</v>
      </c>
      <c r="G207" s="8" t="s">
        <v>102</v>
      </c>
      <c r="H207" s="60" t="s">
        <v>118</v>
      </c>
      <c r="I207" s="2"/>
      <c r="J207" s="2"/>
    </row>
    <row r="208" customFormat="false" ht="15" hidden="false" customHeight="false" outlineLevel="0" collapsed="false">
      <c r="A208" s="34" t="s">
        <v>319</v>
      </c>
      <c r="B208" s="8" t="s">
        <v>91</v>
      </c>
      <c r="C208" s="44" t="s">
        <v>87</v>
      </c>
      <c r="D208" s="58" t="n">
        <v>5625447.33</v>
      </c>
      <c r="E208" s="51" t="n">
        <v>2</v>
      </c>
      <c r="F208" s="21" t="s">
        <v>57</v>
      </c>
      <c r="G208" s="8" t="s">
        <v>102</v>
      </c>
      <c r="H208" s="60" t="s">
        <v>118</v>
      </c>
      <c r="I208" s="2"/>
      <c r="J208" s="2"/>
    </row>
    <row r="209" customFormat="false" ht="15" hidden="false" customHeight="false" outlineLevel="0" collapsed="false">
      <c r="A209" s="24" t="s">
        <v>31</v>
      </c>
      <c r="B209" s="2"/>
      <c r="C209" s="2"/>
      <c r="D209" s="2"/>
      <c r="E209" s="25" t="n">
        <f aca="false">SUM(E6:E208)</f>
        <v>2000</v>
      </c>
      <c r="F209" s="2"/>
      <c r="G209" s="2"/>
      <c r="H209" s="2"/>
      <c r="I209" s="2"/>
      <c r="J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</row>
    <row r="2" customFormat="false" ht="24" hidden="false" customHeight="true" outlineLevel="0" collapsed="false">
      <c r="A2" s="3" t="s">
        <v>320</v>
      </c>
      <c r="B2" s="3"/>
      <c r="C2" s="3"/>
      <c r="D2" s="3"/>
      <c r="E2" s="2"/>
      <c r="F2" s="2"/>
      <c r="G2" s="2"/>
      <c r="H2" s="2"/>
      <c r="I2" s="2"/>
    </row>
    <row r="3" customFormat="false" ht="15.75" hidden="false" customHeight="true" outlineLevel="0" collapsed="false">
      <c r="A3" s="4" t="s">
        <v>321</v>
      </c>
      <c r="B3" s="4"/>
      <c r="C3" s="4"/>
      <c r="D3" s="4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2" t="s">
        <v>322</v>
      </c>
      <c r="B5" s="2"/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13" t="s">
        <v>323</v>
      </c>
      <c r="B6" s="14" t="s">
        <v>324</v>
      </c>
      <c r="C6" s="14" t="s">
        <v>96</v>
      </c>
      <c r="D6" s="14" t="s">
        <v>325</v>
      </c>
      <c r="E6" s="2"/>
      <c r="F6" s="2"/>
      <c r="G6" s="2"/>
      <c r="H6" s="2"/>
      <c r="I6" s="2"/>
    </row>
    <row r="7" customFormat="false" ht="19.5" hidden="false" customHeight="true" outlineLevel="0" collapsed="false">
      <c r="A7" s="63" t="s">
        <v>326</v>
      </c>
      <c r="B7" s="45" t="s">
        <v>327</v>
      </c>
      <c r="C7" s="64" t="s">
        <v>328</v>
      </c>
      <c r="D7" s="47" t="s">
        <v>329</v>
      </c>
      <c r="E7" s="2"/>
      <c r="F7" s="2"/>
      <c r="G7" s="2"/>
      <c r="H7" s="2"/>
      <c r="I7" s="2"/>
    </row>
    <row r="8" customFormat="false" ht="19.5" hidden="false" customHeight="true" outlineLevel="0" collapsed="false">
      <c r="A8" s="63" t="s">
        <v>330</v>
      </c>
      <c r="B8" s="48" t="s">
        <v>331</v>
      </c>
      <c r="C8" s="64" t="s">
        <v>332</v>
      </c>
      <c r="D8" s="47" t="s">
        <v>333</v>
      </c>
      <c r="E8" s="2"/>
      <c r="F8" s="2"/>
      <c r="G8" s="2"/>
      <c r="H8" s="2"/>
      <c r="I8" s="2"/>
    </row>
    <row r="9" customFormat="false" ht="19.5" hidden="false" customHeight="true" outlineLevel="0" collapsed="false">
      <c r="A9" s="63" t="s">
        <v>334</v>
      </c>
      <c r="B9" s="48" t="s">
        <v>335</v>
      </c>
      <c r="C9" s="64" t="s">
        <v>336</v>
      </c>
      <c r="D9" s="47" t="s">
        <v>337</v>
      </c>
      <c r="E9" s="2"/>
      <c r="F9" s="2"/>
      <c r="G9" s="2"/>
      <c r="H9" s="2"/>
      <c r="I9" s="2"/>
    </row>
    <row r="10" customFormat="false" ht="19.5" hidden="false" customHeight="true" outlineLevel="0" collapsed="false">
      <c r="A10" s="63" t="s">
        <v>338</v>
      </c>
      <c r="B10" s="50" t="s">
        <v>339</v>
      </c>
      <c r="C10" s="64" t="s">
        <v>340</v>
      </c>
      <c r="D10" s="47" t="s">
        <v>341</v>
      </c>
      <c r="E10" s="2"/>
      <c r="F10" s="2"/>
      <c r="G10" s="2"/>
      <c r="H10" s="2"/>
      <c r="I10" s="2"/>
    </row>
    <row r="11" customFormat="false" ht="19.5" hidden="false" customHeight="true" outlineLevel="0" collapsed="false">
      <c r="A11" s="63" t="s">
        <v>342</v>
      </c>
      <c r="B11" s="45" t="s">
        <v>343</v>
      </c>
      <c r="C11" s="64" t="s">
        <v>344</v>
      </c>
      <c r="D11" s="47" t="s">
        <v>345</v>
      </c>
      <c r="E11" s="2"/>
      <c r="F11" s="2"/>
      <c r="G11" s="2"/>
      <c r="H11" s="2"/>
      <c r="I11" s="2"/>
    </row>
    <row r="12" customFormat="false" ht="19.5" hidden="false" customHeight="true" outlineLevel="0" collapsed="false">
      <c r="A12" s="63" t="s">
        <v>346</v>
      </c>
      <c r="B12" s="50" t="s">
        <v>347</v>
      </c>
      <c r="C12" s="64" t="s">
        <v>348</v>
      </c>
      <c r="D12" s="47" t="s">
        <v>349</v>
      </c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12" t="s">
        <v>350</v>
      </c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13" t="s">
        <v>351</v>
      </c>
      <c r="B15" s="14" t="s">
        <v>352</v>
      </c>
      <c r="C15" s="14" t="s">
        <v>353</v>
      </c>
      <c r="D15" s="14" t="s">
        <v>354</v>
      </c>
      <c r="E15" s="2"/>
      <c r="F15" s="2"/>
      <c r="G15" s="2"/>
      <c r="H15" s="2"/>
      <c r="I15" s="2"/>
    </row>
    <row r="16" customFormat="false" ht="27.75" hidden="false" customHeight="true" outlineLevel="0" collapsed="false">
      <c r="A16" s="15" t="s">
        <v>355</v>
      </c>
      <c r="B16" s="34" t="s">
        <v>356</v>
      </c>
      <c r="C16" s="8" t="s">
        <v>357</v>
      </c>
      <c r="D16" s="8" t="s">
        <v>358</v>
      </c>
      <c r="E16" s="2"/>
      <c r="F16" s="2"/>
      <c r="G16" s="2"/>
      <c r="H16" s="2"/>
      <c r="I16" s="2"/>
    </row>
    <row r="17" customFormat="false" ht="27.75" hidden="false" customHeight="true" outlineLevel="0" collapsed="false">
      <c r="A17" s="20" t="s">
        <v>359</v>
      </c>
      <c r="B17" s="34" t="s">
        <v>360</v>
      </c>
      <c r="C17" s="8" t="s">
        <v>361</v>
      </c>
      <c r="D17" s="8" t="s">
        <v>362</v>
      </c>
      <c r="E17" s="2"/>
      <c r="F17" s="2"/>
      <c r="G17" s="2"/>
      <c r="H17" s="2"/>
      <c r="I17" s="2"/>
    </row>
    <row r="18" customFormat="false" ht="27.75" hidden="false" customHeight="true" outlineLevel="0" collapsed="false">
      <c r="A18" s="65" t="s">
        <v>363</v>
      </c>
      <c r="B18" s="34" t="s">
        <v>364</v>
      </c>
      <c r="C18" s="8" t="s">
        <v>365</v>
      </c>
      <c r="D18" s="8" t="s">
        <v>366</v>
      </c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</row>
    <row r="2" customFormat="false" ht="24" hidden="false" customHeight="true" outlineLevel="0" collapsed="false">
      <c r="A2" s="3" t="s">
        <v>367</v>
      </c>
      <c r="B2" s="3"/>
      <c r="C2" s="3"/>
      <c r="D2" s="3"/>
      <c r="E2" s="2"/>
      <c r="F2" s="2"/>
      <c r="G2" s="2"/>
      <c r="H2" s="2"/>
      <c r="I2" s="2"/>
    </row>
    <row r="3" customFormat="false" ht="15.75" hidden="false" customHeight="true" outlineLevel="0" collapsed="false">
      <c r="A3" s="4" t="s">
        <v>368</v>
      </c>
      <c r="B3" s="4"/>
      <c r="C3" s="4"/>
      <c r="D3" s="4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66" t="s">
        <v>369</v>
      </c>
      <c r="B5" s="2"/>
      <c r="C5" s="2"/>
      <c r="D5" s="2"/>
      <c r="E5" s="2"/>
      <c r="F5" s="2"/>
      <c r="G5" s="2"/>
      <c r="H5" s="2"/>
      <c r="I5" s="2"/>
    </row>
    <row r="6" customFormat="false" ht="42" hidden="false" customHeight="true" outlineLevel="0" collapsed="false">
      <c r="A6" s="67" t="s">
        <v>370</v>
      </c>
      <c r="B6" s="68" t="s">
        <v>371</v>
      </c>
      <c r="C6" s="68"/>
      <c r="D6" s="68"/>
      <c r="E6" s="2"/>
      <c r="F6" s="2"/>
      <c r="G6" s="2"/>
      <c r="H6" s="2"/>
      <c r="I6" s="2"/>
    </row>
    <row r="7" customFormat="false" ht="42" hidden="false" customHeight="true" outlineLevel="0" collapsed="false">
      <c r="A7" s="56" t="s">
        <v>372</v>
      </c>
      <c r="B7" s="68" t="s">
        <v>373</v>
      </c>
      <c r="C7" s="68"/>
      <c r="D7" s="68"/>
      <c r="E7" s="2"/>
      <c r="F7" s="2"/>
      <c r="G7" s="2"/>
      <c r="H7" s="2"/>
      <c r="I7" s="2"/>
    </row>
    <row r="8" customFormat="false" ht="42" hidden="false" customHeight="true" outlineLevel="0" collapsed="false">
      <c r="A8" s="56" t="s">
        <v>374</v>
      </c>
      <c r="B8" s="68" t="s">
        <v>375</v>
      </c>
      <c r="C8" s="68"/>
      <c r="D8" s="68"/>
      <c r="E8" s="2"/>
      <c r="F8" s="2"/>
      <c r="G8" s="2"/>
      <c r="H8" s="2"/>
      <c r="I8" s="2"/>
    </row>
    <row r="9" customFormat="false" ht="42" hidden="false" customHeight="true" outlineLevel="0" collapsed="false">
      <c r="A9" s="55" t="s">
        <v>376</v>
      </c>
      <c r="B9" s="68" t="s">
        <v>377</v>
      </c>
      <c r="C9" s="68"/>
      <c r="D9" s="68"/>
      <c r="E9" s="2"/>
      <c r="F9" s="2"/>
      <c r="G9" s="2"/>
      <c r="H9" s="2"/>
      <c r="I9" s="2"/>
    </row>
    <row r="10" customFormat="false" ht="42" hidden="false" customHeight="true" outlineLevel="0" collapsed="false">
      <c r="A10" s="55" t="s">
        <v>378</v>
      </c>
      <c r="B10" s="68" t="s">
        <v>379</v>
      </c>
      <c r="C10" s="68"/>
      <c r="D10" s="68"/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12" t="s">
        <v>380</v>
      </c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13" t="s">
        <v>381</v>
      </c>
      <c r="B13" s="14" t="s">
        <v>382</v>
      </c>
      <c r="C13" s="14"/>
      <c r="D13" s="14" t="s">
        <v>383</v>
      </c>
      <c r="E13" s="2"/>
      <c r="F13" s="2"/>
      <c r="G13" s="2"/>
      <c r="H13" s="2"/>
      <c r="I13" s="2"/>
    </row>
    <row r="14" customFormat="false" ht="27.75" hidden="false" customHeight="true" outlineLevel="0" collapsed="false">
      <c r="A14" s="34" t="s">
        <v>384</v>
      </c>
      <c r="B14" s="8" t="s">
        <v>385</v>
      </c>
      <c r="C14" s="8"/>
      <c r="D14" s="69" t="s">
        <v>386</v>
      </c>
      <c r="E14" s="2"/>
      <c r="F14" s="2"/>
      <c r="G14" s="2"/>
      <c r="H14" s="2"/>
      <c r="I14" s="2"/>
    </row>
    <row r="15" customFormat="false" ht="27.75" hidden="false" customHeight="true" outlineLevel="0" collapsed="false">
      <c r="A15" s="34" t="s">
        <v>387</v>
      </c>
      <c r="B15" s="8" t="s">
        <v>388</v>
      </c>
      <c r="C15" s="8"/>
      <c r="D15" s="69" t="s">
        <v>389</v>
      </c>
      <c r="E15" s="2"/>
      <c r="F15" s="2"/>
      <c r="G15" s="2"/>
      <c r="H15" s="2"/>
      <c r="I15" s="2"/>
    </row>
    <row r="16" customFormat="false" ht="27.75" hidden="false" customHeight="true" outlineLevel="0" collapsed="false">
      <c r="A16" s="34" t="s">
        <v>390</v>
      </c>
      <c r="B16" s="8" t="s">
        <v>391</v>
      </c>
      <c r="C16" s="8"/>
      <c r="D16" s="69" t="s">
        <v>392</v>
      </c>
      <c r="E16" s="2"/>
      <c r="F16" s="2"/>
      <c r="G16" s="2"/>
      <c r="H16" s="2"/>
      <c r="I16" s="2"/>
    </row>
    <row r="17" customFormat="false" ht="27.75" hidden="false" customHeight="true" outlineLevel="0" collapsed="false">
      <c r="A17" s="34" t="s">
        <v>393</v>
      </c>
      <c r="B17" s="8" t="s">
        <v>394</v>
      </c>
      <c r="C17" s="8"/>
      <c r="D17" s="69" t="s">
        <v>395</v>
      </c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66" t="s">
        <v>396</v>
      </c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13" t="s">
        <v>112</v>
      </c>
      <c r="B20" s="14" t="s">
        <v>60</v>
      </c>
      <c r="C20" s="14" t="s">
        <v>113</v>
      </c>
      <c r="D20" s="14" t="s">
        <v>24</v>
      </c>
      <c r="E20" s="2"/>
      <c r="F20" s="2"/>
      <c r="G20" s="2"/>
      <c r="H20" s="2"/>
      <c r="I20" s="2"/>
    </row>
    <row r="21" customFormat="false" ht="15" hidden="false" customHeight="false" outlineLevel="0" collapsed="false">
      <c r="A21" s="34" t="s">
        <v>397</v>
      </c>
      <c r="B21" s="8" t="s">
        <v>83</v>
      </c>
      <c r="C21" s="70" t="n">
        <v>-43122671.49</v>
      </c>
      <c r="D21" s="19" t="s">
        <v>398</v>
      </c>
      <c r="E21" s="2"/>
      <c r="F21" s="2"/>
      <c r="G21" s="2"/>
      <c r="H21" s="2"/>
      <c r="I21" s="2"/>
    </row>
    <row r="22" customFormat="false" ht="15" hidden="false" customHeight="false" outlineLevel="0" collapsed="false">
      <c r="A22" s="34" t="s">
        <v>399</v>
      </c>
      <c r="B22" s="8" t="s">
        <v>400</v>
      </c>
      <c r="C22" s="70" t="n">
        <v>-6018894.7</v>
      </c>
      <c r="D22" s="19" t="s">
        <v>398</v>
      </c>
      <c r="E22" s="2"/>
      <c r="F22" s="2"/>
      <c r="G22" s="2"/>
      <c r="H22" s="2"/>
      <c r="I22" s="2"/>
    </row>
    <row r="23" customFormat="false" ht="15" hidden="false" customHeight="false" outlineLevel="0" collapsed="false">
      <c r="A23" s="34" t="s">
        <v>401</v>
      </c>
      <c r="B23" s="8" t="s">
        <v>402</v>
      </c>
      <c r="C23" s="70" t="n">
        <v>-5468705.57</v>
      </c>
      <c r="D23" s="19" t="s">
        <v>398</v>
      </c>
      <c r="E23" s="2"/>
      <c r="F23" s="2"/>
      <c r="G23" s="2"/>
      <c r="H23" s="2"/>
      <c r="I23" s="2"/>
    </row>
    <row r="24" customFormat="false" ht="15" hidden="false" customHeight="false" outlineLevel="0" collapsed="false">
      <c r="A24" s="34" t="s">
        <v>403</v>
      </c>
      <c r="B24" s="8" t="s">
        <v>83</v>
      </c>
      <c r="C24" s="70" t="n">
        <v>-1711786.28</v>
      </c>
      <c r="D24" s="19" t="s">
        <v>398</v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34" t="s">
        <v>404</v>
      </c>
      <c r="B25" s="8" t="s">
        <v>400</v>
      </c>
      <c r="C25" s="70" t="n">
        <v>-1485011.24</v>
      </c>
      <c r="D25" s="19" t="s">
        <v>398</v>
      </c>
      <c r="E25" s="2"/>
      <c r="F25" s="2"/>
      <c r="G25" s="2"/>
      <c r="H25" s="2"/>
      <c r="I25" s="2"/>
    </row>
    <row r="26" customFormat="false" ht="15" hidden="false" customHeight="false" outlineLevel="0" collapsed="false">
      <c r="A26" s="34" t="s">
        <v>405</v>
      </c>
      <c r="B26" s="8" t="s">
        <v>406</v>
      </c>
      <c r="C26" s="70" t="n">
        <v>-1323685.32</v>
      </c>
      <c r="D26" s="19" t="s">
        <v>398</v>
      </c>
      <c r="E26" s="2"/>
      <c r="F26" s="2"/>
      <c r="G26" s="2"/>
      <c r="H26" s="2"/>
      <c r="I26" s="2"/>
    </row>
    <row r="27" customFormat="false" ht="15" hidden="false" customHeight="false" outlineLevel="0" collapsed="false">
      <c r="A27" s="34" t="s">
        <v>407</v>
      </c>
      <c r="B27" s="8" t="s">
        <v>80</v>
      </c>
      <c r="C27" s="70" t="n">
        <v>-934212.77</v>
      </c>
      <c r="D27" s="19" t="s">
        <v>398</v>
      </c>
      <c r="E27" s="2"/>
      <c r="F27" s="2"/>
      <c r="G27" s="2"/>
      <c r="H27" s="2"/>
      <c r="I27" s="2"/>
    </row>
    <row r="28" customFormat="false" ht="15" hidden="false" customHeight="false" outlineLevel="0" collapsed="false">
      <c r="A28" s="34" t="s">
        <v>408</v>
      </c>
      <c r="B28" s="8" t="s">
        <v>409</v>
      </c>
      <c r="C28" s="70" t="n">
        <v>-806783.76</v>
      </c>
      <c r="D28" s="19" t="s">
        <v>398</v>
      </c>
      <c r="E28" s="2"/>
      <c r="F28" s="2"/>
      <c r="G28" s="2"/>
      <c r="H28" s="2"/>
      <c r="I28" s="2"/>
    </row>
    <row r="29" customFormat="false" ht="15" hidden="false" customHeight="false" outlineLevel="0" collapsed="false">
      <c r="A29" s="34" t="s">
        <v>410</v>
      </c>
      <c r="B29" s="8" t="s">
        <v>400</v>
      </c>
      <c r="C29" s="70" t="n">
        <v>-734707.29</v>
      </c>
      <c r="D29" s="19" t="s">
        <v>398</v>
      </c>
      <c r="E29" s="2"/>
      <c r="F29" s="2"/>
      <c r="G29" s="2"/>
      <c r="H29" s="2"/>
      <c r="I29" s="2"/>
    </row>
    <row r="30" customFormat="false" ht="15" hidden="false" customHeight="false" outlineLevel="0" collapsed="false">
      <c r="A30" s="34" t="s">
        <v>411</v>
      </c>
      <c r="B30" s="8" t="s">
        <v>412</v>
      </c>
      <c r="C30" s="70" t="n">
        <v>-559936.7</v>
      </c>
      <c r="D30" s="19" t="s">
        <v>398</v>
      </c>
      <c r="E30" s="2"/>
      <c r="F30" s="2"/>
      <c r="G30" s="2"/>
      <c r="H30" s="2"/>
      <c r="I30" s="2"/>
    </row>
    <row r="31" customFormat="false" ht="15" hidden="false" customHeight="false" outlineLevel="0" collapsed="false">
      <c r="A31" s="34" t="s">
        <v>413</v>
      </c>
      <c r="B31" s="8" t="s">
        <v>400</v>
      </c>
      <c r="C31" s="70" t="n">
        <v>-498563.77</v>
      </c>
      <c r="D31" s="19" t="s">
        <v>398</v>
      </c>
      <c r="E31" s="2"/>
      <c r="F31" s="2"/>
      <c r="G31" s="2"/>
      <c r="H31" s="2"/>
      <c r="I31" s="2"/>
    </row>
    <row r="32" customFormat="false" ht="15" hidden="false" customHeight="false" outlineLevel="0" collapsed="false">
      <c r="A32" s="34" t="s">
        <v>414</v>
      </c>
      <c r="B32" s="8" t="s">
        <v>79</v>
      </c>
      <c r="C32" s="70" t="n">
        <v>-337119.97</v>
      </c>
      <c r="D32" s="19" t="s">
        <v>398</v>
      </c>
      <c r="E32" s="2"/>
      <c r="F32" s="2"/>
      <c r="G32" s="2"/>
      <c r="H32" s="2"/>
      <c r="I32" s="2"/>
    </row>
    <row r="33" customFormat="false" ht="15" hidden="false" customHeight="false" outlineLevel="0" collapsed="false">
      <c r="A33" s="34" t="s">
        <v>415</v>
      </c>
      <c r="B33" s="8" t="s">
        <v>406</v>
      </c>
      <c r="C33" s="70" t="n">
        <v>-283227.57</v>
      </c>
      <c r="D33" s="19" t="s">
        <v>398</v>
      </c>
      <c r="E33" s="2"/>
      <c r="F33" s="2"/>
      <c r="G33" s="2"/>
      <c r="H33" s="2"/>
      <c r="I33" s="2"/>
    </row>
    <row r="34" customFormat="false" ht="15" hidden="false" customHeight="false" outlineLevel="0" collapsed="false">
      <c r="A34" s="34" t="s">
        <v>416</v>
      </c>
      <c r="B34" s="8" t="s">
        <v>80</v>
      </c>
      <c r="C34" s="70" t="n">
        <v>-137219.59</v>
      </c>
      <c r="D34" s="19" t="s">
        <v>398</v>
      </c>
      <c r="E34" s="2"/>
      <c r="F34" s="2"/>
      <c r="G34" s="2"/>
      <c r="H34" s="2"/>
      <c r="I34" s="2"/>
    </row>
    <row r="35" customFormat="false" ht="15" hidden="false" customHeight="false" outlineLevel="0" collapsed="false">
      <c r="A35" s="34" t="s">
        <v>417</v>
      </c>
      <c r="B35" s="8" t="s">
        <v>80</v>
      </c>
      <c r="C35" s="70" t="n">
        <v>-133770.5</v>
      </c>
      <c r="D35" s="19" t="s">
        <v>398</v>
      </c>
      <c r="E35" s="2"/>
      <c r="F35" s="2"/>
      <c r="G35" s="2"/>
      <c r="H35" s="2"/>
      <c r="I35" s="2"/>
    </row>
    <row r="36" customFormat="false" ht="15" hidden="false" customHeight="false" outlineLevel="0" collapsed="false">
      <c r="A36" s="34" t="s">
        <v>418</v>
      </c>
      <c r="B36" s="8" t="s">
        <v>80</v>
      </c>
      <c r="C36" s="70" t="n">
        <v>-95796.03</v>
      </c>
      <c r="D36" s="19" t="s">
        <v>398</v>
      </c>
      <c r="E36" s="2"/>
      <c r="F36" s="2"/>
      <c r="G36" s="2"/>
      <c r="H36" s="2"/>
      <c r="I36" s="2"/>
    </row>
    <row r="37" customFormat="false" ht="15" hidden="false" customHeight="false" outlineLevel="0" collapsed="false">
      <c r="A37" s="34" t="s">
        <v>419</v>
      </c>
      <c r="B37" s="8" t="s">
        <v>420</v>
      </c>
      <c r="C37" s="70" t="n">
        <v>-53505.52</v>
      </c>
      <c r="D37" s="19" t="s">
        <v>398</v>
      </c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</sheetData>
  <mergeCells count="12">
    <mergeCell ref="A1:D1"/>
    <mergeCell ref="A2:D2"/>
    <mergeCell ref="A3:D3"/>
    <mergeCell ref="B6:D6"/>
    <mergeCell ref="B7:D7"/>
    <mergeCell ref="B8:D8"/>
    <mergeCell ref="B9:D9"/>
    <mergeCell ref="B10:D10"/>
    <mergeCell ref="B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2026-06-09T12:30:25Z</dcterms:created>
  <dc:creator>openpyxl</dc:creator>
  <dc:description/>
  <dc:language>en-US</dc:language>
  <cp:lastModifiedBy/>
  <dcterms:modified xsi:type="dcterms:W3CDTF">2026-06-09T12:32:18Z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